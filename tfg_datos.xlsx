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gc15\Downloads\"/>
    </mc:Choice>
  </mc:AlternateContent>
  <xr:revisionPtr revIDLastSave="0" documentId="13_ncr:1_{3BF068F0-9069-45EB-BAE8-E65CAC1ECBB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1. Datos" sheetId="1" r:id="rId1"/>
    <sheet name="Aux_Rangos" sheetId="2" state="hidden" r:id="rId2"/>
    <sheet name="2. Estadística Descriptiva" sheetId="3" r:id="rId3"/>
    <sheet name="3. Correlaciones Spearman" sheetId="4" r:id="rId4"/>
    <sheet name="4. Regresión OLS" sheetId="5" r:id="rId5"/>
    <sheet name="5. K-Means" sheetId="6" r:id="rId6"/>
    <sheet name="6. Alfa de Cronbach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6" l="1"/>
  <c r="C6" i="6"/>
  <c r="C7" i="6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C6" i="7"/>
  <c r="B6" i="7"/>
  <c r="C5" i="7"/>
  <c r="B5" i="7"/>
  <c r="B4" i="7"/>
  <c r="B23" i="5"/>
  <c r="B24" i="5" s="1"/>
  <c r="C21" i="5"/>
  <c r="B21" i="5"/>
  <c r="D21" i="5" s="1"/>
  <c r="C20" i="5"/>
  <c r="B20" i="5"/>
  <c r="D20" i="5" s="1"/>
  <c r="B10" i="5"/>
  <c r="B11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J12" i="3"/>
  <c r="I12" i="3"/>
  <c r="H12" i="3"/>
  <c r="G12" i="3"/>
  <c r="F12" i="3"/>
  <c r="E12" i="3"/>
  <c r="D12" i="3"/>
  <c r="C12" i="3"/>
  <c r="J11" i="3"/>
  <c r="I11" i="3"/>
  <c r="H11" i="3"/>
  <c r="G11" i="3"/>
  <c r="F11" i="3"/>
  <c r="E11" i="3"/>
  <c r="D11" i="3"/>
  <c r="C11" i="3"/>
  <c r="J10" i="3"/>
  <c r="I10" i="3"/>
  <c r="H10" i="3"/>
  <c r="G10" i="3"/>
  <c r="F10" i="3"/>
  <c r="E10" i="3"/>
  <c r="D10" i="3"/>
  <c r="C10" i="3"/>
  <c r="J9" i="3"/>
  <c r="I9" i="3"/>
  <c r="H9" i="3"/>
  <c r="G9" i="3"/>
  <c r="F9" i="3"/>
  <c r="E9" i="3"/>
  <c r="D9" i="3"/>
  <c r="C9" i="3"/>
  <c r="J8" i="3"/>
  <c r="I8" i="3"/>
  <c r="H8" i="3"/>
  <c r="G8" i="3"/>
  <c r="F8" i="3"/>
  <c r="E8" i="3"/>
  <c r="D8" i="3"/>
  <c r="C8" i="3"/>
  <c r="J7" i="3"/>
  <c r="I7" i="3"/>
  <c r="H7" i="3"/>
  <c r="G7" i="3"/>
  <c r="F7" i="3"/>
  <c r="E7" i="3"/>
  <c r="D7" i="3"/>
  <c r="C7" i="3"/>
  <c r="J6" i="3"/>
  <c r="I6" i="3"/>
  <c r="H6" i="3"/>
  <c r="G6" i="3"/>
  <c r="F6" i="3"/>
  <c r="E6" i="3"/>
  <c r="D6" i="3"/>
  <c r="C6" i="3"/>
  <c r="J5" i="3"/>
  <c r="I5" i="3"/>
  <c r="H5" i="3"/>
  <c r="G5" i="3"/>
  <c r="F5" i="3"/>
  <c r="E5" i="3"/>
  <c r="D5" i="3"/>
  <c r="C5" i="3"/>
  <c r="J4" i="3"/>
  <c r="I4" i="3"/>
  <c r="H4" i="3"/>
  <c r="G4" i="3"/>
  <c r="F4" i="3"/>
  <c r="E4" i="3"/>
  <c r="D4" i="3"/>
  <c r="C4" i="3"/>
  <c r="J3" i="3"/>
  <c r="I3" i="3"/>
  <c r="H3" i="3"/>
  <c r="G3" i="3"/>
  <c r="F3" i="3"/>
  <c r="E3" i="3"/>
  <c r="D3" i="3"/>
  <c r="C3" i="3"/>
  <c r="L172" i="2"/>
  <c r="K172" i="2"/>
  <c r="J172" i="2"/>
  <c r="I172" i="2"/>
  <c r="H172" i="2"/>
  <c r="G172" i="2"/>
  <c r="F172" i="2"/>
  <c r="E172" i="2"/>
  <c r="D172" i="2"/>
  <c r="C172" i="2"/>
  <c r="B172" i="2"/>
  <c r="A172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L99" i="2"/>
  <c r="K99" i="2"/>
  <c r="J99" i="2"/>
  <c r="I99" i="2"/>
  <c r="H99" i="2"/>
  <c r="G99" i="2"/>
  <c r="F99" i="2"/>
  <c r="E99" i="2"/>
  <c r="D99" i="2"/>
  <c r="C99" i="2"/>
  <c r="B99" i="2"/>
  <c r="A99" i="2"/>
  <c r="L98" i="2"/>
  <c r="K98" i="2"/>
  <c r="J98" i="2"/>
  <c r="I98" i="2"/>
  <c r="H98" i="2"/>
  <c r="G98" i="2"/>
  <c r="F98" i="2"/>
  <c r="E98" i="2"/>
  <c r="D98" i="2"/>
  <c r="C98" i="2"/>
  <c r="B98" i="2"/>
  <c r="A98" i="2"/>
  <c r="L97" i="2"/>
  <c r="K97" i="2"/>
  <c r="J97" i="2"/>
  <c r="I97" i="2"/>
  <c r="H97" i="2"/>
  <c r="G97" i="2"/>
  <c r="F97" i="2"/>
  <c r="E97" i="2"/>
  <c r="D97" i="2"/>
  <c r="C97" i="2"/>
  <c r="B97" i="2"/>
  <c r="A97" i="2"/>
  <c r="L96" i="2"/>
  <c r="K96" i="2"/>
  <c r="J96" i="2"/>
  <c r="I96" i="2"/>
  <c r="H96" i="2"/>
  <c r="G96" i="2"/>
  <c r="F96" i="2"/>
  <c r="E96" i="2"/>
  <c r="D96" i="2"/>
  <c r="C96" i="2"/>
  <c r="B96" i="2"/>
  <c r="A96" i="2"/>
  <c r="L95" i="2"/>
  <c r="K95" i="2"/>
  <c r="J95" i="2"/>
  <c r="I95" i="2"/>
  <c r="H95" i="2"/>
  <c r="G95" i="2"/>
  <c r="F95" i="2"/>
  <c r="E95" i="2"/>
  <c r="D95" i="2"/>
  <c r="C95" i="2"/>
  <c r="B95" i="2"/>
  <c r="A95" i="2"/>
  <c r="L94" i="2"/>
  <c r="K94" i="2"/>
  <c r="J94" i="2"/>
  <c r="I94" i="2"/>
  <c r="H94" i="2"/>
  <c r="G94" i="2"/>
  <c r="F94" i="2"/>
  <c r="E94" i="2"/>
  <c r="D94" i="2"/>
  <c r="C94" i="2"/>
  <c r="B94" i="2"/>
  <c r="A94" i="2"/>
  <c r="L93" i="2"/>
  <c r="K93" i="2"/>
  <c r="J93" i="2"/>
  <c r="I93" i="2"/>
  <c r="H93" i="2"/>
  <c r="G93" i="2"/>
  <c r="F93" i="2"/>
  <c r="E93" i="2"/>
  <c r="D93" i="2"/>
  <c r="C93" i="2"/>
  <c r="B93" i="2"/>
  <c r="A93" i="2"/>
  <c r="L92" i="2"/>
  <c r="K92" i="2"/>
  <c r="J92" i="2"/>
  <c r="I92" i="2"/>
  <c r="H92" i="2"/>
  <c r="G92" i="2"/>
  <c r="F92" i="2"/>
  <c r="E92" i="2"/>
  <c r="D92" i="2"/>
  <c r="C92" i="2"/>
  <c r="B92" i="2"/>
  <c r="A92" i="2"/>
  <c r="L91" i="2"/>
  <c r="K91" i="2"/>
  <c r="J91" i="2"/>
  <c r="I91" i="2"/>
  <c r="H91" i="2"/>
  <c r="G91" i="2"/>
  <c r="F91" i="2"/>
  <c r="E91" i="2"/>
  <c r="D91" i="2"/>
  <c r="C91" i="2"/>
  <c r="B91" i="2"/>
  <c r="A91" i="2"/>
  <c r="L90" i="2"/>
  <c r="K90" i="2"/>
  <c r="J90" i="2"/>
  <c r="I90" i="2"/>
  <c r="H90" i="2"/>
  <c r="G90" i="2"/>
  <c r="F90" i="2"/>
  <c r="E90" i="2"/>
  <c r="D90" i="2"/>
  <c r="C90" i="2"/>
  <c r="B90" i="2"/>
  <c r="A90" i="2"/>
  <c r="L89" i="2"/>
  <c r="K89" i="2"/>
  <c r="J89" i="2"/>
  <c r="I89" i="2"/>
  <c r="H89" i="2"/>
  <c r="G89" i="2"/>
  <c r="F89" i="2"/>
  <c r="E89" i="2"/>
  <c r="D89" i="2"/>
  <c r="C89" i="2"/>
  <c r="B89" i="2"/>
  <c r="A89" i="2"/>
  <c r="L88" i="2"/>
  <c r="K88" i="2"/>
  <c r="J88" i="2"/>
  <c r="I88" i="2"/>
  <c r="H88" i="2"/>
  <c r="G88" i="2"/>
  <c r="F88" i="2"/>
  <c r="E88" i="2"/>
  <c r="D88" i="2"/>
  <c r="C88" i="2"/>
  <c r="B88" i="2"/>
  <c r="A88" i="2"/>
  <c r="L87" i="2"/>
  <c r="K87" i="2"/>
  <c r="J87" i="2"/>
  <c r="I87" i="2"/>
  <c r="H87" i="2"/>
  <c r="G87" i="2"/>
  <c r="F87" i="2"/>
  <c r="E87" i="2"/>
  <c r="D87" i="2"/>
  <c r="C87" i="2"/>
  <c r="B87" i="2"/>
  <c r="A87" i="2"/>
  <c r="L86" i="2"/>
  <c r="K86" i="2"/>
  <c r="J86" i="2"/>
  <c r="I86" i="2"/>
  <c r="H86" i="2"/>
  <c r="G86" i="2"/>
  <c r="F86" i="2"/>
  <c r="E86" i="2"/>
  <c r="D86" i="2"/>
  <c r="C86" i="2"/>
  <c r="B86" i="2"/>
  <c r="A86" i="2"/>
  <c r="L85" i="2"/>
  <c r="K85" i="2"/>
  <c r="J85" i="2"/>
  <c r="I85" i="2"/>
  <c r="H85" i="2"/>
  <c r="G85" i="2"/>
  <c r="F85" i="2"/>
  <c r="E85" i="2"/>
  <c r="D85" i="2"/>
  <c r="C85" i="2"/>
  <c r="B85" i="2"/>
  <c r="A85" i="2"/>
  <c r="L84" i="2"/>
  <c r="K84" i="2"/>
  <c r="J84" i="2"/>
  <c r="I84" i="2"/>
  <c r="H84" i="2"/>
  <c r="G84" i="2"/>
  <c r="F84" i="2"/>
  <c r="E84" i="2"/>
  <c r="D84" i="2"/>
  <c r="C84" i="2"/>
  <c r="B84" i="2"/>
  <c r="A84" i="2"/>
  <c r="L83" i="2"/>
  <c r="K83" i="2"/>
  <c r="J83" i="2"/>
  <c r="I83" i="2"/>
  <c r="H83" i="2"/>
  <c r="G83" i="2"/>
  <c r="F83" i="2"/>
  <c r="E83" i="2"/>
  <c r="D83" i="2"/>
  <c r="C83" i="2"/>
  <c r="B83" i="2"/>
  <c r="A83" i="2"/>
  <c r="L82" i="2"/>
  <c r="K82" i="2"/>
  <c r="J82" i="2"/>
  <c r="I82" i="2"/>
  <c r="H82" i="2"/>
  <c r="G82" i="2"/>
  <c r="F82" i="2"/>
  <c r="E82" i="2"/>
  <c r="D82" i="2"/>
  <c r="C82" i="2"/>
  <c r="B82" i="2"/>
  <c r="A82" i="2"/>
  <c r="L81" i="2"/>
  <c r="K81" i="2"/>
  <c r="J81" i="2"/>
  <c r="I81" i="2"/>
  <c r="H81" i="2"/>
  <c r="G81" i="2"/>
  <c r="F81" i="2"/>
  <c r="E81" i="2"/>
  <c r="D81" i="2"/>
  <c r="C81" i="2"/>
  <c r="B81" i="2"/>
  <c r="A81" i="2"/>
  <c r="L80" i="2"/>
  <c r="K80" i="2"/>
  <c r="J80" i="2"/>
  <c r="I80" i="2"/>
  <c r="H80" i="2"/>
  <c r="G80" i="2"/>
  <c r="F80" i="2"/>
  <c r="E80" i="2"/>
  <c r="D80" i="2"/>
  <c r="C80" i="2"/>
  <c r="B80" i="2"/>
  <c r="A80" i="2"/>
  <c r="L79" i="2"/>
  <c r="K79" i="2"/>
  <c r="J79" i="2"/>
  <c r="I79" i="2"/>
  <c r="H79" i="2"/>
  <c r="G79" i="2"/>
  <c r="F79" i="2"/>
  <c r="E79" i="2"/>
  <c r="D79" i="2"/>
  <c r="C79" i="2"/>
  <c r="B79" i="2"/>
  <c r="A79" i="2"/>
  <c r="L78" i="2"/>
  <c r="K78" i="2"/>
  <c r="J78" i="2"/>
  <c r="I78" i="2"/>
  <c r="H78" i="2"/>
  <c r="G78" i="2"/>
  <c r="F78" i="2"/>
  <c r="E78" i="2"/>
  <c r="D78" i="2"/>
  <c r="C78" i="2"/>
  <c r="B78" i="2"/>
  <c r="A78" i="2"/>
  <c r="L77" i="2"/>
  <c r="K77" i="2"/>
  <c r="J77" i="2"/>
  <c r="I77" i="2"/>
  <c r="H77" i="2"/>
  <c r="G77" i="2"/>
  <c r="F77" i="2"/>
  <c r="E77" i="2"/>
  <c r="D77" i="2"/>
  <c r="C77" i="2"/>
  <c r="B77" i="2"/>
  <c r="A77" i="2"/>
  <c r="L76" i="2"/>
  <c r="K76" i="2"/>
  <c r="J76" i="2"/>
  <c r="I76" i="2"/>
  <c r="H76" i="2"/>
  <c r="G76" i="2"/>
  <c r="F76" i="2"/>
  <c r="E76" i="2"/>
  <c r="D76" i="2"/>
  <c r="C76" i="2"/>
  <c r="B76" i="2"/>
  <c r="A76" i="2"/>
  <c r="L75" i="2"/>
  <c r="K75" i="2"/>
  <c r="J75" i="2"/>
  <c r="I75" i="2"/>
  <c r="H75" i="2"/>
  <c r="G75" i="2"/>
  <c r="F75" i="2"/>
  <c r="E75" i="2"/>
  <c r="D75" i="2"/>
  <c r="C75" i="2"/>
  <c r="B75" i="2"/>
  <c r="A75" i="2"/>
  <c r="L74" i="2"/>
  <c r="K74" i="2"/>
  <c r="J74" i="2"/>
  <c r="I74" i="2"/>
  <c r="H74" i="2"/>
  <c r="G74" i="2"/>
  <c r="F74" i="2"/>
  <c r="E74" i="2"/>
  <c r="D74" i="2"/>
  <c r="C74" i="2"/>
  <c r="B74" i="2"/>
  <c r="A74" i="2"/>
  <c r="L73" i="2"/>
  <c r="K73" i="2"/>
  <c r="J73" i="2"/>
  <c r="I73" i="2"/>
  <c r="H73" i="2"/>
  <c r="G73" i="2"/>
  <c r="F73" i="2"/>
  <c r="E73" i="2"/>
  <c r="D73" i="2"/>
  <c r="C73" i="2"/>
  <c r="B73" i="2"/>
  <c r="A73" i="2"/>
  <c r="L72" i="2"/>
  <c r="K72" i="2"/>
  <c r="J72" i="2"/>
  <c r="I72" i="2"/>
  <c r="H72" i="2"/>
  <c r="G72" i="2"/>
  <c r="F72" i="2"/>
  <c r="E72" i="2"/>
  <c r="D72" i="2"/>
  <c r="C72" i="2"/>
  <c r="B72" i="2"/>
  <c r="A72" i="2"/>
  <c r="L71" i="2"/>
  <c r="K71" i="2"/>
  <c r="J71" i="2"/>
  <c r="I71" i="2"/>
  <c r="H71" i="2"/>
  <c r="G71" i="2"/>
  <c r="F71" i="2"/>
  <c r="E71" i="2"/>
  <c r="D71" i="2"/>
  <c r="C71" i="2"/>
  <c r="B71" i="2"/>
  <c r="A71" i="2"/>
  <c r="L70" i="2"/>
  <c r="K70" i="2"/>
  <c r="J70" i="2"/>
  <c r="I70" i="2"/>
  <c r="H70" i="2"/>
  <c r="G70" i="2"/>
  <c r="F70" i="2"/>
  <c r="E70" i="2"/>
  <c r="D70" i="2"/>
  <c r="C70" i="2"/>
  <c r="B70" i="2"/>
  <c r="A70" i="2"/>
  <c r="L69" i="2"/>
  <c r="K69" i="2"/>
  <c r="J69" i="2"/>
  <c r="I69" i="2"/>
  <c r="H69" i="2"/>
  <c r="G69" i="2"/>
  <c r="F69" i="2"/>
  <c r="E69" i="2"/>
  <c r="D69" i="2"/>
  <c r="C69" i="2"/>
  <c r="B69" i="2"/>
  <c r="A69" i="2"/>
  <c r="L68" i="2"/>
  <c r="K68" i="2"/>
  <c r="J68" i="2"/>
  <c r="I68" i="2"/>
  <c r="H68" i="2"/>
  <c r="G68" i="2"/>
  <c r="F68" i="2"/>
  <c r="E68" i="2"/>
  <c r="D68" i="2"/>
  <c r="C68" i="2"/>
  <c r="B68" i="2"/>
  <c r="A68" i="2"/>
  <c r="L67" i="2"/>
  <c r="K67" i="2"/>
  <c r="J67" i="2"/>
  <c r="I67" i="2"/>
  <c r="H67" i="2"/>
  <c r="G67" i="2"/>
  <c r="F67" i="2"/>
  <c r="E67" i="2"/>
  <c r="D67" i="2"/>
  <c r="C67" i="2"/>
  <c r="B67" i="2"/>
  <c r="A67" i="2"/>
  <c r="L66" i="2"/>
  <c r="K66" i="2"/>
  <c r="J66" i="2"/>
  <c r="I66" i="2"/>
  <c r="H66" i="2"/>
  <c r="G66" i="2"/>
  <c r="F66" i="2"/>
  <c r="E66" i="2"/>
  <c r="D66" i="2"/>
  <c r="C66" i="2"/>
  <c r="B66" i="2"/>
  <c r="A66" i="2"/>
  <c r="L65" i="2"/>
  <c r="K65" i="2"/>
  <c r="J65" i="2"/>
  <c r="I65" i="2"/>
  <c r="H65" i="2"/>
  <c r="G65" i="2"/>
  <c r="F65" i="2"/>
  <c r="E65" i="2"/>
  <c r="D65" i="2"/>
  <c r="C65" i="2"/>
  <c r="B65" i="2"/>
  <c r="A65" i="2"/>
  <c r="L64" i="2"/>
  <c r="K64" i="2"/>
  <c r="J64" i="2"/>
  <c r="I64" i="2"/>
  <c r="H64" i="2"/>
  <c r="G64" i="2"/>
  <c r="F64" i="2"/>
  <c r="E64" i="2"/>
  <c r="D64" i="2"/>
  <c r="C64" i="2"/>
  <c r="B64" i="2"/>
  <c r="A64" i="2"/>
  <c r="L63" i="2"/>
  <c r="K63" i="2"/>
  <c r="J63" i="2"/>
  <c r="I63" i="2"/>
  <c r="H63" i="2"/>
  <c r="G63" i="2"/>
  <c r="F63" i="2"/>
  <c r="E63" i="2"/>
  <c r="D63" i="2"/>
  <c r="C63" i="2"/>
  <c r="B63" i="2"/>
  <c r="A63" i="2"/>
  <c r="L62" i="2"/>
  <c r="K62" i="2"/>
  <c r="J62" i="2"/>
  <c r="I62" i="2"/>
  <c r="H62" i="2"/>
  <c r="G62" i="2"/>
  <c r="F62" i="2"/>
  <c r="E62" i="2"/>
  <c r="D62" i="2"/>
  <c r="C62" i="2"/>
  <c r="B62" i="2"/>
  <c r="A62" i="2"/>
  <c r="L61" i="2"/>
  <c r="K61" i="2"/>
  <c r="J61" i="2"/>
  <c r="I61" i="2"/>
  <c r="H61" i="2"/>
  <c r="G61" i="2"/>
  <c r="F61" i="2"/>
  <c r="E61" i="2"/>
  <c r="D61" i="2"/>
  <c r="C61" i="2"/>
  <c r="B61" i="2"/>
  <c r="A61" i="2"/>
  <c r="L60" i="2"/>
  <c r="K60" i="2"/>
  <c r="J60" i="2"/>
  <c r="I60" i="2"/>
  <c r="H60" i="2"/>
  <c r="G60" i="2"/>
  <c r="F60" i="2"/>
  <c r="E60" i="2"/>
  <c r="D60" i="2"/>
  <c r="C60" i="2"/>
  <c r="B60" i="2"/>
  <c r="A60" i="2"/>
  <c r="L59" i="2"/>
  <c r="K59" i="2"/>
  <c r="J59" i="2"/>
  <c r="I59" i="2"/>
  <c r="H59" i="2"/>
  <c r="G59" i="2"/>
  <c r="F59" i="2"/>
  <c r="E59" i="2"/>
  <c r="D59" i="2"/>
  <c r="C59" i="2"/>
  <c r="B59" i="2"/>
  <c r="A59" i="2"/>
  <c r="L58" i="2"/>
  <c r="K58" i="2"/>
  <c r="J58" i="2"/>
  <c r="I58" i="2"/>
  <c r="H58" i="2"/>
  <c r="G58" i="2"/>
  <c r="F58" i="2"/>
  <c r="E58" i="2"/>
  <c r="D58" i="2"/>
  <c r="C58" i="2"/>
  <c r="B58" i="2"/>
  <c r="A58" i="2"/>
  <c r="L57" i="2"/>
  <c r="K57" i="2"/>
  <c r="J57" i="2"/>
  <c r="I57" i="2"/>
  <c r="H57" i="2"/>
  <c r="G57" i="2"/>
  <c r="F57" i="2"/>
  <c r="E57" i="2"/>
  <c r="D57" i="2"/>
  <c r="C57" i="2"/>
  <c r="B57" i="2"/>
  <c r="A57" i="2"/>
  <c r="L56" i="2"/>
  <c r="K56" i="2"/>
  <c r="J56" i="2"/>
  <c r="I56" i="2"/>
  <c r="H56" i="2"/>
  <c r="G56" i="2"/>
  <c r="F56" i="2"/>
  <c r="E56" i="2"/>
  <c r="D56" i="2"/>
  <c r="C56" i="2"/>
  <c r="B56" i="2"/>
  <c r="A56" i="2"/>
  <c r="L55" i="2"/>
  <c r="K55" i="2"/>
  <c r="J55" i="2"/>
  <c r="I55" i="2"/>
  <c r="H55" i="2"/>
  <c r="G55" i="2"/>
  <c r="F55" i="2"/>
  <c r="E55" i="2"/>
  <c r="D55" i="2"/>
  <c r="C55" i="2"/>
  <c r="B55" i="2"/>
  <c r="A55" i="2"/>
  <c r="L54" i="2"/>
  <c r="K54" i="2"/>
  <c r="J54" i="2"/>
  <c r="I54" i="2"/>
  <c r="H54" i="2"/>
  <c r="G54" i="2"/>
  <c r="F54" i="2"/>
  <c r="E54" i="2"/>
  <c r="D54" i="2"/>
  <c r="C54" i="2"/>
  <c r="B54" i="2"/>
  <c r="A54" i="2"/>
  <c r="L53" i="2"/>
  <c r="K53" i="2"/>
  <c r="J53" i="2"/>
  <c r="I53" i="2"/>
  <c r="H53" i="2"/>
  <c r="G53" i="2"/>
  <c r="F53" i="2"/>
  <c r="E53" i="2"/>
  <c r="D53" i="2"/>
  <c r="C53" i="2"/>
  <c r="B53" i="2"/>
  <c r="A53" i="2"/>
  <c r="L52" i="2"/>
  <c r="K52" i="2"/>
  <c r="J52" i="2"/>
  <c r="I52" i="2"/>
  <c r="H52" i="2"/>
  <c r="G52" i="2"/>
  <c r="F52" i="2"/>
  <c r="E52" i="2"/>
  <c r="D52" i="2"/>
  <c r="C52" i="2"/>
  <c r="B52" i="2"/>
  <c r="A52" i="2"/>
  <c r="L51" i="2"/>
  <c r="K51" i="2"/>
  <c r="J51" i="2"/>
  <c r="I51" i="2"/>
  <c r="H51" i="2"/>
  <c r="G51" i="2"/>
  <c r="F51" i="2"/>
  <c r="E51" i="2"/>
  <c r="D51" i="2"/>
  <c r="C51" i="2"/>
  <c r="B51" i="2"/>
  <c r="A51" i="2"/>
  <c r="L50" i="2"/>
  <c r="K50" i="2"/>
  <c r="J50" i="2"/>
  <c r="I50" i="2"/>
  <c r="H50" i="2"/>
  <c r="G50" i="2"/>
  <c r="F50" i="2"/>
  <c r="E50" i="2"/>
  <c r="D50" i="2"/>
  <c r="C50" i="2"/>
  <c r="B50" i="2"/>
  <c r="A50" i="2"/>
  <c r="L49" i="2"/>
  <c r="K49" i="2"/>
  <c r="J49" i="2"/>
  <c r="I49" i="2"/>
  <c r="H49" i="2"/>
  <c r="G49" i="2"/>
  <c r="F49" i="2"/>
  <c r="E49" i="2"/>
  <c r="D49" i="2"/>
  <c r="C49" i="2"/>
  <c r="B49" i="2"/>
  <c r="A49" i="2"/>
  <c r="L48" i="2"/>
  <c r="K48" i="2"/>
  <c r="J48" i="2"/>
  <c r="I48" i="2"/>
  <c r="H48" i="2"/>
  <c r="G48" i="2"/>
  <c r="F48" i="2"/>
  <c r="E48" i="2"/>
  <c r="D48" i="2"/>
  <c r="C48" i="2"/>
  <c r="B48" i="2"/>
  <c r="A48" i="2"/>
  <c r="L47" i="2"/>
  <c r="K47" i="2"/>
  <c r="J47" i="2"/>
  <c r="I47" i="2"/>
  <c r="H47" i="2"/>
  <c r="G47" i="2"/>
  <c r="F47" i="2"/>
  <c r="E47" i="2"/>
  <c r="D47" i="2"/>
  <c r="C47" i="2"/>
  <c r="B47" i="2"/>
  <c r="A47" i="2"/>
  <c r="L46" i="2"/>
  <c r="K46" i="2"/>
  <c r="J46" i="2"/>
  <c r="I46" i="2"/>
  <c r="H46" i="2"/>
  <c r="G46" i="2"/>
  <c r="F46" i="2"/>
  <c r="E46" i="2"/>
  <c r="D46" i="2"/>
  <c r="C46" i="2"/>
  <c r="B46" i="2"/>
  <c r="A46" i="2"/>
  <c r="L45" i="2"/>
  <c r="K45" i="2"/>
  <c r="J45" i="2"/>
  <c r="I45" i="2"/>
  <c r="H45" i="2"/>
  <c r="G45" i="2"/>
  <c r="F45" i="2"/>
  <c r="E45" i="2"/>
  <c r="D45" i="2"/>
  <c r="C45" i="2"/>
  <c r="B45" i="2"/>
  <c r="A45" i="2"/>
  <c r="L44" i="2"/>
  <c r="K44" i="2"/>
  <c r="J44" i="2"/>
  <c r="I44" i="2"/>
  <c r="H44" i="2"/>
  <c r="G44" i="2"/>
  <c r="F44" i="2"/>
  <c r="E44" i="2"/>
  <c r="D44" i="2"/>
  <c r="C44" i="2"/>
  <c r="B44" i="2"/>
  <c r="A44" i="2"/>
  <c r="L43" i="2"/>
  <c r="K43" i="2"/>
  <c r="J43" i="2"/>
  <c r="I43" i="2"/>
  <c r="H43" i="2"/>
  <c r="G43" i="2"/>
  <c r="F43" i="2"/>
  <c r="E43" i="2"/>
  <c r="D43" i="2"/>
  <c r="C43" i="2"/>
  <c r="B43" i="2"/>
  <c r="A43" i="2"/>
  <c r="L42" i="2"/>
  <c r="K42" i="2"/>
  <c r="J42" i="2"/>
  <c r="I42" i="2"/>
  <c r="H42" i="2"/>
  <c r="G42" i="2"/>
  <c r="F42" i="2"/>
  <c r="E42" i="2"/>
  <c r="D42" i="2"/>
  <c r="C42" i="2"/>
  <c r="B42" i="2"/>
  <c r="A42" i="2"/>
  <c r="L41" i="2"/>
  <c r="K41" i="2"/>
  <c r="J41" i="2"/>
  <c r="I41" i="2"/>
  <c r="H41" i="2"/>
  <c r="G41" i="2"/>
  <c r="F41" i="2"/>
  <c r="E41" i="2"/>
  <c r="D41" i="2"/>
  <c r="C41" i="2"/>
  <c r="B41" i="2"/>
  <c r="A41" i="2"/>
  <c r="L40" i="2"/>
  <c r="K40" i="2"/>
  <c r="J40" i="2"/>
  <c r="I40" i="2"/>
  <c r="H40" i="2"/>
  <c r="G40" i="2"/>
  <c r="F40" i="2"/>
  <c r="E40" i="2"/>
  <c r="D40" i="2"/>
  <c r="C40" i="2"/>
  <c r="B40" i="2"/>
  <c r="A40" i="2"/>
  <c r="L39" i="2"/>
  <c r="K39" i="2"/>
  <c r="J39" i="2"/>
  <c r="I39" i="2"/>
  <c r="H39" i="2"/>
  <c r="G39" i="2"/>
  <c r="F39" i="2"/>
  <c r="E39" i="2"/>
  <c r="D39" i="2"/>
  <c r="C39" i="2"/>
  <c r="B39" i="2"/>
  <c r="A39" i="2"/>
  <c r="L38" i="2"/>
  <c r="K38" i="2"/>
  <c r="J38" i="2"/>
  <c r="I38" i="2"/>
  <c r="H38" i="2"/>
  <c r="G38" i="2"/>
  <c r="F38" i="2"/>
  <c r="E38" i="2"/>
  <c r="D38" i="2"/>
  <c r="C38" i="2"/>
  <c r="B38" i="2"/>
  <c r="A38" i="2"/>
  <c r="L37" i="2"/>
  <c r="K37" i="2"/>
  <c r="J37" i="2"/>
  <c r="I37" i="2"/>
  <c r="H37" i="2"/>
  <c r="G37" i="2"/>
  <c r="F37" i="2"/>
  <c r="E37" i="2"/>
  <c r="D37" i="2"/>
  <c r="C37" i="2"/>
  <c r="B37" i="2"/>
  <c r="A37" i="2"/>
  <c r="L36" i="2"/>
  <c r="K36" i="2"/>
  <c r="J36" i="2"/>
  <c r="I36" i="2"/>
  <c r="H36" i="2"/>
  <c r="G36" i="2"/>
  <c r="F36" i="2"/>
  <c r="E36" i="2"/>
  <c r="D36" i="2"/>
  <c r="C36" i="2"/>
  <c r="B36" i="2"/>
  <c r="A36" i="2"/>
  <c r="L35" i="2"/>
  <c r="K35" i="2"/>
  <c r="J35" i="2"/>
  <c r="I35" i="2"/>
  <c r="H35" i="2"/>
  <c r="G35" i="2"/>
  <c r="F35" i="2"/>
  <c r="E35" i="2"/>
  <c r="D35" i="2"/>
  <c r="C35" i="2"/>
  <c r="B35" i="2"/>
  <c r="A35" i="2"/>
  <c r="L34" i="2"/>
  <c r="K34" i="2"/>
  <c r="J34" i="2"/>
  <c r="I34" i="2"/>
  <c r="H34" i="2"/>
  <c r="G34" i="2"/>
  <c r="F34" i="2"/>
  <c r="E34" i="2"/>
  <c r="D34" i="2"/>
  <c r="C34" i="2"/>
  <c r="B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L31" i="2"/>
  <c r="K31" i="2"/>
  <c r="J31" i="2"/>
  <c r="I31" i="2"/>
  <c r="H31" i="2"/>
  <c r="G31" i="2"/>
  <c r="F31" i="2"/>
  <c r="E31" i="2"/>
  <c r="D31" i="2"/>
  <c r="C31" i="2"/>
  <c r="B31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L28" i="2"/>
  <c r="K28" i="2"/>
  <c r="J28" i="2"/>
  <c r="I28" i="2"/>
  <c r="H28" i="2"/>
  <c r="G28" i="2"/>
  <c r="F28" i="2"/>
  <c r="E28" i="2"/>
  <c r="D28" i="2"/>
  <c r="C28" i="2"/>
  <c r="B28" i="2"/>
  <c r="A28" i="2"/>
  <c r="L27" i="2"/>
  <c r="K27" i="2"/>
  <c r="J27" i="2"/>
  <c r="I27" i="2"/>
  <c r="H27" i="2"/>
  <c r="G27" i="2"/>
  <c r="F27" i="2"/>
  <c r="E27" i="2"/>
  <c r="D27" i="2"/>
  <c r="C27" i="2"/>
  <c r="B27" i="2"/>
  <c r="A27" i="2"/>
  <c r="L26" i="2"/>
  <c r="K26" i="2"/>
  <c r="J26" i="2"/>
  <c r="I26" i="2"/>
  <c r="H26" i="2"/>
  <c r="G26" i="2"/>
  <c r="F26" i="2"/>
  <c r="E26" i="2"/>
  <c r="D26" i="2"/>
  <c r="C26" i="2"/>
  <c r="B26" i="2"/>
  <c r="A26" i="2"/>
  <c r="L25" i="2"/>
  <c r="K25" i="2"/>
  <c r="J25" i="2"/>
  <c r="I25" i="2"/>
  <c r="H25" i="2"/>
  <c r="G25" i="2"/>
  <c r="F25" i="2"/>
  <c r="E25" i="2"/>
  <c r="D25" i="2"/>
  <c r="C25" i="2"/>
  <c r="B25" i="2"/>
  <c r="A25" i="2"/>
  <c r="L24" i="2"/>
  <c r="K24" i="2"/>
  <c r="J24" i="2"/>
  <c r="I24" i="2"/>
  <c r="H24" i="2"/>
  <c r="G24" i="2"/>
  <c r="F24" i="2"/>
  <c r="E24" i="2"/>
  <c r="D24" i="2"/>
  <c r="C24" i="2"/>
  <c r="B24" i="2"/>
  <c r="A24" i="2"/>
  <c r="L23" i="2"/>
  <c r="K23" i="2"/>
  <c r="J23" i="2"/>
  <c r="I23" i="2"/>
  <c r="H23" i="2"/>
  <c r="G23" i="2"/>
  <c r="F23" i="2"/>
  <c r="E23" i="2"/>
  <c r="D23" i="2"/>
  <c r="C23" i="2"/>
  <c r="B23" i="2"/>
  <c r="A23" i="2"/>
  <c r="L22" i="2"/>
  <c r="K22" i="2"/>
  <c r="J22" i="2"/>
  <c r="I22" i="2"/>
  <c r="H22" i="2"/>
  <c r="G22" i="2"/>
  <c r="F22" i="2"/>
  <c r="E22" i="2"/>
  <c r="D22" i="2"/>
  <c r="C22" i="2"/>
  <c r="B22" i="2"/>
  <c r="A22" i="2"/>
  <c r="L21" i="2"/>
  <c r="K21" i="2"/>
  <c r="J21" i="2"/>
  <c r="I21" i="2"/>
  <c r="H21" i="2"/>
  <c r="G21" i="2"/>
  <c r="F21" i="2"/>
  <c r="E21" i="2"/>
  <c r="D21" i="2"/>
  <c r="C21" i="2"/>
  <c r="B21" i="2"/>
  <c r="A21" i="2"/>
  <c r="L20" i="2"/>
  <c r="K20" i="2"/>
  <c r="J20" i="2"/>
  <c r="I20" i="2"/>
  <c r="H20" i="2"/>
  <c r="G20" i="2"/>
  <c r="F20" i="2"/>
  <c r="E20" i="2"/>
  <c r="D20" i="2"/>
  <c r="C20" i="2"/>
  <c r="B20" i="2"/>
  <c r="A20" i="2"/>
  <c r="L19" i="2"/>
  <c r="K19" i="2"/>
  <c r="J19" i="2"/>
  <c r="I19" i="2"/>
  <c r="H19" i="2"/>
  <c r="G19" i="2"/>
  <c r="F19" i="2"/>
  <c r="E19" i="2"/>
  <c r="D19" i="2"/>
  <c r="C19" i="2"/>
  <c r="B19" i="2"/>
  <c r="A19" i="2"/>
  <c r="L18" i="2"/>
  <c r="K18" i="2"/>
  <c r="J18" i="2"/>
  <c r="I18" i="2"/>
  <c r="H18" i="2"/>
  <c r="G18" i="2"/>
  <c r="F18" i="2"/>
  <c r="E18" i="2"/>
  <c r="D18" i="2"/>
  <c r="C18" i="2"/>
  <c r="B18" i="2"/>
  <c r="A18" i="2"/>
  <c r="L17" i="2"/>
  <c r="K17" i="2"/>
  <c r="J17" i="2"/>
  <c r="I17" i="2"/>
  <c r="H17" i="2"/>
  <c r="G17" i="2"/>
  <c r="F17" i="2"/>
  <c r="E17" i="2"/>
  <c r="D17" i="2"/>
  <c r="C17" i="2"/>
  <c r="B17" i="2"/>
  <c r="A17" i="2"/>
  <c r="L16" i="2"/>
  <c r="K16" i="2"/>
  <c r="J16" i="2"/>
  <c r="I16" i="2"/>
  <c r="H16" i="2"/>
  <c r="G16" i="2"/>
  <c r="F16" i="2"/>
  <c r="E16" i="2"/>
  <c r="D16" i="2"/>
  <c r="C16" i="2"/>
  <c r="B16" i="2"/>
  <c r="A16" i="2"/>
  <c r="L15" i="2"/>
  <c r="K15" i="2"/>
  <c r="J15" i="2"/>
  <c r="I15" i="2"/>
  <c r="H15" i="2"/>
  <c r="G15" i="2"/>
  <c r="F15" i="2"/>
  <c r="E15" i="2"/>
  <c r="D15" i="2"/>
  <c r="C15" i="2"/>
  <c r="B15" i="2"/>
  <c r="A15" i="2"/>
  <c r="L14" i="2"/>
  <c r="K14" i="2"/>
  <c r="J14" i="2"/>
  <c r="I14" i="2"/>
  <c r="H14" i="2"/>
  <c r="G14" i="2"/>
  <c r="F14" i="2"/>
  <c r="E14" i="2"/>
  <c r="D14" i="2"/>
  <c r="C14" i="2"/>
  <c r="B14" i="2"/>
  <c r="A14" i="2"/>
  <c r="L13" i="2"/>
  <c r="K13" i="2"/>
  <c r="J13" i="2"/>
  <c r="I13" i="2"/>
  <c r="H13" i="2"/>
  <c r="G13" i="2"/>
  <c r="F13" i="2"/>
  <c r="E13" i="2"/>
  <c r="D13" i="2"/>
  <c r="C13" i="2"/>
  <c r="B13" i="2"/>
  <c r="A13" i="2"/>
  <c r="L12" i="2"/>
  <c r="K12" i="2"/>
  <c r="J12" i="2"/>
  <c r="I12" i="2"/>
  <c r="H12" i="2"/>
  <c r="G12" i="2"/>
  <c r="F12" i="2"/>
  <c r="E12" i="2"/>
  <c r="D12" i="2"/>
  <c r="C12" i="2"/>
  <c r="B12" i="2"/>
  <c r="A12" i="2"/>
  <c r="L11" i="2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G9" i="2"/>
  <c r="F9" i="2"/>
  <c r="E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K7" i="2"/>
  <c r="J7" i="2"/>
  <c r="I7" i="2"/>
  <c r="H7" i="2"/>
  <c r="G7" i="2"/>
  <c r="F7" i="2"/>
  <c r="E7" i="2"/>
  <c r="D7" i="2"/>
  <c r="C7" i="2"/>
  <c r="B7" i="2"/>
  <c r="A7" i="2"/>
  <c r="L6" i="2"/>
  <c r="K6" i="2"/>
  <c r="J6" i="2"/>
  <c r="I6" i="2"/>
  <c r="H6" i="2"/>
  <c r="G6" i="2"/>
  <c r="F6" i="2"/>
  <c r="E6" i="2"/>
  <c r="D6" i="2"/>
  <c r="C6" i="2"/>
  <c r="B6" i="2"/>
  <c r="A6" i="2"/>
  <c r="L5" i="2"/>
  <c r="K5" i="2"/>
  <c r="J5" i="2"/>
  <c r="I5" i="2"/>
  <c r="H5" i="2"/>
  <c r="G5" i="2"/>
  <c r="F5" i="2"/>
  <c r="E5" i="2"/>
  <c r="D5" i="2"/>
  <c r="C5" i="2"/>
  <c r="B5" i="2"/>
  <c r="A5" i="2"/>
  <c r="L4" i="2"/>
  <c r="K4" i="2"/>
  <c r="J4" i="2"/>
  <c r="I4" i="2"/>
  <c r="H4" i="2"/>
  <c r="G4" i="2"/>
  <c r="F4" i="2"/>
  <c r="E4" i="2"/>
  <c r="D4" i="2"/>
  <c r="C4" i="2"/>
  <c r="B4" i="2"/>
  <c r="A4" i="2"/>
  <c r="L3" i="2"/>
  <c r="K3" i="2"/>
  <c r="J3" i="2"/>
  <c r="I3" i="2"/>
  <c r="H3" i="2"/>
  <c r="G3" i="2"/>
  <c r="F3" i="2"/>
  <c r="E3" i="2"/>
  <c r="D3" i="2"/>
  <c r="C3" i="2"/>
  <c r="B3" i="2"/>
  <c r="A3" i="2"/>
  <c r="L2" i="2"/>
  <c r="C5" i="4" s="1"/>
  <c r="D5" i="4" s="1"/>
  <c r="K2" i="2"/>
  <c r="C4" i="4" s="1"/>
  <c r="D4" i="4" s="1"/>
  <c r="J2" i="2"/>
  <c r="C7" i="4" s="1"/>
  <c r="D7" i="4" s="1"/>
  <c r="I2" i="2"/>
  <c r="H2" i="2"/>
  <c r="C6" i="4" s="1"/>
  <c r="D6" i="4" s="1"/>
  <c r="G2" i="2"/>
  <c r="C3" i="4" s="1"/>
  <c r="D3" i="4" s="1"/>
  <c r="F2" i="2"/>
  <c r="C13" i="4" s="1"/>
  <c r="D13" i="4" s="1"/>
  <c r="E2" i="2"/>
  <c r="D2" i="2"/>
  <c r="C2" i="2"/>
  <c r="B2" i="2"/>
  <c r="A2" i="2"/>
  <c r="C4" i="7" l="1"/>
  <c r="C7" i="7" s="1"/>
  <c r="B7" i="7"/>
  <c r="E21" i="5"/>
  <c r="F21" i="5"/>
  <c r="E20" i="5"/>
  <c r="F20" i="5"/>
  <c r="F8" i="5"/>
  <c r="E8" i="5"/>
  <c r="F7" i="5"/>
  <c r="E7" i="5"/>
  <c r="E6" i="5"/>
  <c r="F6" i="5"/>
  <c r="F5" i="5"/>
  <c r="E5" i="5"/>
  <c r="E4" i="5"/>
  <c r="F4" i="5"/>
  <c r="I30" i="4"/>
  <c r="G30" i="4"/>
  <c r="D30" i="4"/>
  <c r="H30" i="4"/>
  <c r="B30" i="4"/>
  <c r="F30" i="4"/>
  <c r="C30" i="4"/>
  <c r="E30" i="4"/>
  <c r="E29" i="4"/>
  <c r="F29" i="4"/>
  <c r="B29" i="4"/>
  <c r="G29" i="4"/>
  <c r="C29" i="4"/>
  <c r="H29" i="4"/>
  <c r="D29" i="4"/>
  <c r="J29" i="4"/>
  <c r="B28" i="4"/>
  <c r="F28" i="4"/>
  <c r="I28" i="4"/>
  <c r="E28" i="4"/>
  <c r="C28" i="4"/>
  <c r="J28" i="4"/>
  <c r="G28" i="4"/>
  <c r="D28" i="4"/>
  <c r="F27" i="4"/>
  <c r="B27" i="4"/>
  <c r="I27" i="4"/>
  <c r="C27" i="4"/>
  <c r="E27" i="4"/>
  <c r="H27" i="4"/>
  <c r="J27" i="4"/>
  <c r="D27" i="4"/>
  <c r="D26" i="4"/>
  <c r="I26" i="4"/>
  <c r="J26" i="4"/>
  <c r="H26" i="4"/>
  <c r="G26" i="4"/>
  <c r="E26" i="4"/>
  <c r="D33" i="4"/>
  <c r="G33" i="4"/>
  <c r="M27" i="4"/>
  <c r="L33" i="4"/>
  <c r="H33" i="4"/>
  <c r="M26" i="4"/>
  <c r="E33" i="4"/>
  <c r="I33" i="4"/>
  <c r="M28" i="4"/>
  <c r="C33" i="4"/>
  <c r="M29" i="4"/>
  <c r="F33" i="4"/>
  <c r="M30" i="4"/>
  <c r="K33" i="4"/>
  <c r="B33" i="4"/>
  <c r="J33" i="4"/>
  <c r="G32" i="4"/>
  <c r="L28" i="4"/>
  <c r="C32" i="4"/>
  <c r="L29" i="4"/>
  <c r="D32" i="4"/>
  <c r="E32" i="4"/>
  <c r="I32" i="4"/>
  <c r="L26" i="4"/>
  <c r="H32" i="4"/>
  <c r="J32" i="4"/>
  <c r="L27" i="4"/>
  <c r="L30" i="4"/>
  <c r="M32" i="4"/>
  <c r="F32" i="4"/>
  <c r="B32" i="4"/>
  <c r="K32" i="4"/>
  <c r="C31" i="4"/>
  <c r="K29" i="4"/>
  <c r="I31" i="4"/>
  <c r="K30" i="4"/>
  <c r="J31" i="4"/>
  <c r="K27" i="4"/>
  <c r="H31" i="4"/>
  <c r="M31" i="4"/>
  <c r="G31" i="4"/>
  <c r="B31" i="4"/>
  <c r="K26" i="4"/>
  <c r="D31" i="4"/>
  <c r="L31" i="4"/>
  <c r="F31" i="4"/>
  <c r="K28" i="4"/>
  <c r="E31" i="4"/>
  <c r="E5" i="4"/>
  <c r="F5" i="4"/>
  <c r="G5" i="4"/>
  <c r="E4" i="4"/>
  <c r="F4" i="4"/>
  <c r="G4" i="4"/>
  <c r="E7" i="4"/>
  <c r="F7" i="4"/>
  <c r="G7" i="4"/>
  <c r="E6" i="4"/>
  <c r="F6" i="4"/>
  <c r="G6" i="4"/>
  <c r="E3" i="4"/>
  <c r="F3" i="4"/>
  <c r="G3" i="4"/>
  <c r="E13" i="4"/>
  <c r="F13" i="4"/>
  <c r="G13" i="4"/>
  <c r="C11" i="4"/>
  <c r="D11" i="4" s="1"/>
  <c r="C26" i="4"/>
  <c r="B26" i="4"/>
  <c r="G25" i="4"/>
  <c r="C12" i="4"/>
  <c r="D12" i="4" s="1"/>
  <c r="L25" i="4"/>
  <c r="M25" i="4"/>
  <c r="K25" i="4"/>
  <c r="J25" i="4"/>
  <c r="I25" i="4"/>
  <c r="H25" i="4"/>
  <c r="F25" i="4"/>
  <c r="D25" i="4"/>
  <c r="C25" i="4"/>
  <c r="B25" i="4"/>
  <c r="I24" i="4"/>
  <c r="C24" i="4"/>
  <c r="E24" i="4"/>
  <c r="F24" i="4"/>
  <c r="G24" i="4"/>
  <c r="H24" i="4"/>
  <c r="J24" i="4"/>
  <c r="B24" i="4"/>
  <c r="L24" i="4"/>
  <c r="M24" i="4"/>
  <c r="K24" i="4"/>
  <c r="C9" i="4"/>
  <c r="D9" i="4" s="1"/>
  <c r="K23" i="4"/>
  <c r="M23" i="4"/>
  <c r="L23" i="4"/>
  <c r="J23" i="4"/>
  <c r="H23" i="4"/>
  <c r="G23" i="4"/>
  <c r="F23" i="4"/>
  <c r="E23" i="4"/>
  <c r="D23" i="4"/>
  <c r="B23" i="4"/>
  <c r="C10" i="4"/>
  <c r="D10" i="4" s="1"/>
  <c r="I23" i="4"/>
  <c r="H22" i="4"/>
  <c r="C8" i="4"/>
  <c r="D8" i="4" s="1"/>
  <c r="M22" i="4"/>
  <c r="L22" i="4"/>
  <c r="K22" i="4"/>
  <c r="J22" i="4"/>
  <c r="C22" i="4"/>
  <c r="D22" i="4"/>
  <c r="E22" i="4"/>
  <c r="F22" i="4"/>
  <c r="G22" i="4"/>
  <c r="I22" i="4"/>
  <c r="E11" i="4" l="1"/>
  <c r="F11" i="4"/>
  <c r="G11" i="4"/>
  <c r="E12" i="4"/>
  <c r="F12" i="4"/>
  <c r="G12" i="4"/>
  <c r="E9" i="4"/>
  <c r="F9" i="4"/>
  <c r="G9" i="4"/>
  <c r="E10" i="4"/>
  <c r="F10" i="4"/>
  <c r="G10" i="4"/>
  <c r="E8" i="4"/>
  <c r="F8" i="4"/>
  <c r="G8" i="4"/>
</calcChain>
</file>

<file path=xl/sharedStrings.xml><?xml version="1.0" encoding="utf-8"?>
<sst xmlns="http://schemas.openxmlformats.org/spreadsheetml/2006/main" count="1229" uniqueCount="140">
  <si>
    <t>Número</t>
  </si>
  <si>
    <t>Edad</t>
  </si>
  <si>
    <t>Sexo</t>
  </si>
  <si>
    <t>Universitario</t>
  </si>
  <si>
    <t>App Digital</t>
  </si>
  <si>
    <t>Tiempo Uso</t>
  </si>
  <si>
    <t>App Principal</t>
  </si>
  <si>
    <t>Fac</t>
  </si>
  <si>
    <t>Int</t>
  </si>
  <si>
    <t>Seg</t>
  </si>
  <si>
    <t>PDat</t>
  </si>
  <si>
    <t>Conf</t>
  </si>
  <si>
    <t>Fia</t>
  </si>
  <si>
    <t>Cost</t>
  </si>
  <si>
    <t>Val</t>
  </si>
  <si>
    <t>Sat</t>
  </si>
  <si>
    <t>Exp</t>
  </si>
  <si>
    <t>Int2</t>
  </si>
  <si>
    <t>Rec</t>
  </si>
  <si>
    <t>18-25</t>
  </si>
  <si>
    <t>Hombre</t>
  </si>
  <si>
    <t>Sí</t>
  </si>
  <si>
    <t>1 - 3 años</t>
  </si>
  <si>
    <t>Revolut</t>
  </si>
  <si>
    <t>Mujer</t>
  </si>
  <si>
    <t>BBVA</t>
  </si>
  <si>
    <t>26-35</t>
  </si>
  <si>
    <t>No</t>
  </si>
  <si>
    <t>Más de 3 años</t>
  </si>
  <si>
    <t>N26</t>
  </si>
  <si>
    <t>6 meses - 1 año</t>
  </si>
  <si>
    <t>Santander</t>
  </si>
  <si>
    <t>CaixaBank</t>
  </si>
  <si>
    <t>Openbank</t>
  </si>
  <si>
    <t>Kutxabank</t>
  </si>
  <si>
    <t>36 - 50</t>
  </si>
  <si>
    <t>Unicaja</t>
  </si>
  <si>
    <t>Evo Banco</t>
  </si>
  <si>
    <t>Sabadell</t>
  </si>
  <si>
    <t>Otra</t>
  </si>
  <si>
    <t>ING</t>
  </si>
  <si>
    <t>Más de 50</t>
  </si>
  <si>
    <t>Abanca</t>
  </si>
  <si>
    <t>Menos de 6 meses</t>
  </si>
  <si>
    <t>Rango_Fac</t>
  </si>
  <si>
    <t>Rango_Int</t>
  </si>
  <si>
    <t>Rango_Seg</t>
  </si>
  <si>
    <t>Rango_PDat</t>
  </si>
  <si>
    <t>Rango_Conf</t>
  </si>
  <si>
    <t>Rango_Fia</t>
  </si>
  <si>
    <t>Rango_Cost</t>
  </si>
  <si>
    <t>Rango_Val</t>
  </si>
  <si>
    <t>Rango_Sat</t>
  </si>
  <si>
    <t>Rango_Exp</t>
  </si>
  <si>
    <t>Rango_Int2</t>
  </si>
  <si>
    <t>Rango_Rec</t>
  </si>
  <si>
    <t>Estadisticos descriptivos - Variables Likert (n=171)</t>
  </si>
  <si>
    <t>Variable</t>
  </si>
  <si>
    <t>Abrev.</t>
  </si>
  <si>
    <t>n</t>
  </si>
  <si>
    <t>Media</t>
  </si>
  <si>
    <t>Desv. Típ.</t>
  </si>
  <si>
    <t>Mín.</t>
  </si>
  <si>
    <t>P25</t>
  </si>
  <si>
    <t>Mediana</t>
  </si>
  <si>
    <t>P75</t>
  </si>
  <si>
    <t>Máx.</t>
  </si>
  <si>
    <t>Facilidad de uso</t>
  </si>
  <si>
    <t>Interfaz clara e intuitiva</t>
  </si>
  <si>
    <t>Seguridad percibida</t>
  </si>
  <si>
    <t>Protección de datos</t>
  </si>
  <si>
    <t>Confianza en la entidad</t>
  </si>
  <si>
    <t>Fiabilidad de la app</t>
  </si>
  <si>
    <t>Costes percibidos</t>
  </si>
  <si>
    <t>Valor por el dinero</t>
  </si>
  <si>
    <t>Satisfacción</t>
  </si>
  <si>
    <t>Cumplimiento de expectativas</t>
  </si>
  <si>
    <t>Intención de uso futuro</t>
  </si>
  <si>
    <t>Recomendación</t>
  </si>
  <si>
    <t>ρ (rho)</t>
  </si>
  <si>
    <t>Estadístico t</t>
  </si>
  <si>
    <t>p-valor</t>
  </si>
  <si>
    <t>Significación</t>
  </si>
  <si>
    <t>Interpretación</t>
  </si>
  <si>
    <t>Matriz completa - correlaciones de Spearman entre todas las variables</t>
  </si>
  <si>
    <t>* La diagonal siempre es 1 (correlacion de una variable consigo misma)</t>
  </si>
  <si>
    <t>* La matriz es simetrica - el valor de Fac-Sat es el mismo que Sat-Fac</t>
  </si>
  <si>
    <t>Modelo 1 - Regresion multiple OLS (H1 a H4) - Variable dependiente: Satisfaccion</t>
  </si>
  <si>
    <t>β (coef.)</t>
  </si>
  <si>
    <t>Error Est.</t>
  </si>
  <si>
    <t>Intercepto</t>
  </si>
  <si>
    <t>Facilidad de uso (Fac)</t>
  </si>
  <si>
    <t>Seguridad percibida (Seg)</t>
  </si>
  <si>
    <t>Confianza en la entidad (Conf)</t>
  </si>
  <si>
    <t>Costes percibidos (Cost)</t>
  </si>
  <si>
    <t>R²</t>
  </si>
  <si>
    <t>R² ajustado</t>
  </si>
  <si>
    <t>* Solo Fac y Cost son significativos (p&lt;0.05) - Seg y Conf no llegan</t>
  </si>
  <si>
    <t>Modelo 2 - Regresion simple OLS (H5) - Variable dependiente: Intencion de uso</t>
  </si>
  <si>
    <t>* LINEST(Int2, Sat) - la satisfaccion predice la intencion de seguir usando la app</t>
  </si>
  <si>
    <t>* Sat destacada en amarillo porque es la variable que estoy analizando como predictor aqui</t>
  </si>
  <si>
    <t>Ecuacion: Int2 = 3.132 + 0.325*Sat</t>
  </si>
  <si>
    <t>Segmentacion K-Means - Metodo del codo</t>
  </si>
  <si>
    <t>k</t>
  </si>
  <si>
    <t>Inercia (WCSS)</t>
  </si>
  <si>
    <t>Reducción vs k-1</t>
  </si>
  <si>
    <t>—</t>
  </si>
  <si>
    <t>Perfiles de los clusteres - medias por variable (n=171)</t>
  </si>
  <si>
    <t>Clúster</t>
  </si>
  <si>
    <t>Clúster 1 (Alta satisf. y seguridad)</t>
  </si>
  <si>
    <t>Clúster 2 (Baja satisf., costes altos)</t>
  </si>
  <si>
    <t>Clúster 3 (Alta satisf., baja conf./datos)</t>
  </si>
  <si>
    <t>* Las 3 variables que mas distinguen los grupos: Satisfaccion, Costes y Proteccion de datos</t>
  </si>
  <si>
    <t>Alfa de Cronbach - fiabilidad del cuestionario</t>
  </si>
  <si>
    <t>* Formula: alpha = (k/(k-1)) * (1 - suma_varianzas_items / varianza_total)</t>
  </si>
  <si>
    <t>Estadístico</t>
  </si>
  <si>
    <t>Fórmula Excel</t>
  </si>
  <si>
    <t>Valor</t>
  </si>
  <si>
    <t>k (número de ítems)</t>
  </si>
  <si>
    <t>Columna auxiliar: suma de 12 ítems por encuestado</t>
  </si>
  <si>
    <t>Σσᵢ² (suma de varianzas de ítems)</t>
  </si>
  <si>
    <t>Suma_ítems</t>
  </si>
  <si>
    <t>σₜ² (varianza de la suma total)</t>
  </si>
  <si>
    <t>Alfa de Cronbach (α)</t>
  </si>
  <si>
    <t>* Alpha = 0.657, por debajo del 0.70 tipico, pero tiene logica: los 12 items miden cosas distintas (facilidad, seguridad, costes...) no una sola dimension</t>
  </si>
  <si>
    <t>* Si midiese solo satisfaccion con 12 preguntas el alpha seria mas alto - aqui es mas un check general del cuestionario</t>
  </si>
  <si>
    <t>* K-Means no se puede correr directamente en Excel - calculé las inercias con Python y las meti aqui</t>
  </si>
  <si>
    <t>*Sat en amarillo porque es mi variable dependiente principal</t>
  </si>
  <si>
    <t>* Elegi k=3 porque la reduccion de inercia de 2 a 3 es la mas grande (146 puntos) - a partir de ahi ya no merece la pena</t>
  </si>
  <si>
    <t>*Usé LINEST con CHOOSE para meter las 4 variables no contiguas (H, J, L, N)</t>
  </si>
  <si>
    <t>p- valor</t>
  </si>
  <si>
    <t>Ecuación: Sat = 1.822 + 0.193*Fac + 0.070*Seg + 0.100*Conf + 0.251*Cost</t>
  </si>
  <si>
    <t>Correlaciones de Spearman con Satisfacción (n=171) - fórmula: CORREL sobre rangos + T.DIST.2T para p-valores</t>
  </si>
  <si>
    <t>* rho = CORREL sobre los rangos de cada variable (calculados con RANK+COUNTIF para los empates)</t>
  </si>
  <si>
    <t>* criterio Cohen: fuerte &gt;=0.50, moderada 0.30-0.49, debil 0.10-0.29 - si no es significativo pongo "muy baja / no sig."</t>
  </si>
  <si>
    <t>* significación: *** p&lt;0.001 / ** p&lt;0.01 / * p&lt;0.05 / n.s. = no significativo</t>
  </si>
  <si>
    <t>* estadístico t = rho*RAIZ(169)/RAIZ(1-rho^2) - p-valor con TDIST(t,169,2)</t>
  </si>
  <si>
    <t>* Sat = la variable que uso como dependiente (satisfaccion con la app) - destacada en amarillo</t>
  </si>
  <si>
    <t>* formulas usadas: AVERAGE, STDEV, MIN, MAX, QUARTILE y MEDIAN - todas sobre los 171 datos validos</t>
  </si>
  <si>
    <t>* n=171 en todos los casos (solo respuestas validas, filtradas en la hoja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</si>
</sst>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EF4FB"/>
        <bgColor rgb="FFFFFFFF"/>
      </patternFill>
    </fill>
    <fill>
      <patternFill patternType="solid">
        <fgColor rgb="FFFFF2CC"/>
        <bgColor rgb="FFEEF4FB"/>
      </patternFill>
    </fill>
    <fill>
      <patternFill patternType="solid">
        <fgColor rgb="FFD9D9D9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2"/>
  <sheetViews>
    <sheetView tabSelected="1" zoomScaleNormal="100" workbookViewId="0">
      <pane ySplit="1" topLeftCell="A163" activePane="bottomLeft" state="frozen"/>
      <selection pane="bottomLeft"/>
    </sheetView>
  </sheetViews>
  <sheetFormatPr defaultColWidth="8.6640625" defaultRowHeight="14.25" x14ac:dyDescent="0.45"/>
  <cols>
    <col min="1" max="1" width="6" customWidth="1"/>
    <col min="2" max="2" width="12" customWidth="1"/>
    <col min="3" max="3" width="9" customWidth="1"/>
    <col min="4" max="4" width="13" customWidth="1"/>
    <col min="5" max="5" width="11" customWidth="1"/>
    <col min="6" max="6" width="12" customWidth="1"/>
    <col min="7" max="7" width="14" customWidth="1"/>
    <col min="8" max="19" width="5.53125" customWidth="1"/>
  </cols>
  <sheetData>
    <row r="1" spans="1:19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45">
      <c r="A2" s="2">
        <v>1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23</v>
      </c>
      <c r="H2" s="2">
        <v>4</v>
      </c>
      <c r="I2" s="2">
        <v>5</v>
      </c>
      <c r="J2" s="2">
        <v>3</v>
      </c>
      <c r="K2" s="2">
        <v>1</v>
      </c>
      <c r="L2" s="2">
        <v>4</v>
      </c>
      <c r="M2" s="2">
        <v>3</v>
      </c>
      <c r="N2" s="2">
        <v>5</v>
      </c>
      <c r="O2" s="2">
        <v>5</v>
      </c>
      <c r="P2" s="2">
        <v>4</v>
      </c>
      <c r="Q2" s="2">
        <v>5</v>
      </c>
      <c r="R2" s="2">
        <v>4</v>
      </c>
      <c r="S2" s="2">
        <v>5</v>
      </c>
    </row>
    <row r="3" spans="1:19" ht="15" customHeight="1" x14ac:dyDescent="0.45">
      <c r="A3" s="4">
        <v>2</v>
      </c>
      <c r="B3" s="5" t="s">
        <v>19</v>
      </c>
      <c r="C3" s="5" t="s">
        <v>24</v>
      </c>
      <c r="D3" s="5" t="s">
        <v>21</v>
      </c>
      <c r="E3" s="5" t="s">
        <v>21</v>
      </c>
      <c r="F3" s="5" t="s">
        <v>22</v>
      </c>
      <c r="G3" s="5" t="s">
        <v>25</v>
      </c>
      <c r="H3" s="4">
        <v>4</v>
      </c>
      <c r="I3" s="4">
        <v>4</v>
      </c>
      <c r="J3" s="4">
        <v>5</v>
      </c>
      <c r="K3" s="4">
        <v>2</v>
      </c>
      <c r="L3" s="4">
        <v>4</v>
      </c>
      <c r="M3" s="4">
        <v>4</v>
      </c>
      <c r="N3" s="4">
        <v>3</v>
      </c>
      <c r="O3" s="4">
        <v>3</v>
      </c>
      <c r="P3" s="4">
        <v>3</v>
      </c>
      <c r="Q3" s="4">
        <v>4</v>
      </c>
      <c r="R3" s="4">
        <v>4</v>
      </c>
      <c r="S3" s="4">
        <v>3</v>
      </c>
    </row>
    <row r="4" spans="1:19" ht="15" customHeight="1" x14ac:dyDescent="0.45">
      <c r="A4" s="2">
        <v>3</v>
      </c>
      <c r="B4" s="3" t="s">
        <v>26</v>
      </c>
      <c r="C4" s="3" t="s">
        <v>20</v>
      </c>
      <c r="D4" s="3" t="s">
        <v>27</v>
      </c>
      <c r="E4" s="3" t="s">
        <v>21</v>
      </c>
      <c r="F4" s="3" t="s">
        <v>28</v>
      </c>
      <c r="G4" s="3" t="s">
        <v>29</v>
      </c>
      <c r="H4" s="2">
        <v>5</v>
      </c>
      <c r="I4" s="2">
        <v>4</v>
      </c>
      <c r="J4" s="2">
        <v>4</v>
      </c>
      <c r="K4" s="2">
        <v>2</v>
      </c>
      <c r="L4" s="2">
        <v>4</v>
      </c>
      <c r="M4" s="2">
        <v>3</v>
      </c>
      <c r="N4" s="2">
        <v>4</v>
      </c>
      <c r="O4" s="2">
        <v>4</v>
      </c>
      <c r="P4" s="2">
        <v>5</v>
      </c>
      <c r="Q4" s="2">
        <v>4</v>
      </c>
      <c r="R4" s="2">
        <v>4</v>
      </c>
      <c r="S4" s="2">
        <v>5</v>
      </c>
    </row>
    <row r="5" spans="1:19" ht="15" customHeight="1" x14ac:dyDescent="0.45">
      <c r="A5" s="4">
        <v>4</v>
      </c>
      <c r="B5" s="5" t="s">
        <v>19</v>
      </c>
      <c r="C5" s="5" t="s">
        <v>24</v>
      </c>
      <c r="D5" s="5" t="s">
        <v>21</v>
      </c>
      <c r="E5" s="5" t="s">
        <v>21</v>
      </c>
      <c r="F5" s="5" t="s">
        <v>30</v>
      </c>
      <c r="G5" s="5" t="s">
        <v>23</v>
      </c>
      <c r="H5" s="4">
        <v>5</v>
      </c>
      <c r="I5" s="4">
        <v>5</v>
      </c>
      <c r="J5" s="4">
        <v>4</v>
      </c>
      <c r="K5" s="4">
        <v>3</v>
      </c>
      <c r="L5" s="4">
        <v>3</v>
      </c>
      <c r="M5" s="4">
        <v>4</v>
      </c>
      <c r="N5" s="4">
        <v>5</v>
      </c>
      <c r="O5" s="4">
        <v>5</v>
      </c>
      <c r="P5" s="4">
        <v>5</v>
      </c>
      <c r="Q5" s="4">
        <v>5</v>
      </c>
      <c r="R5" s="4">
        <v>5</v>
      </c>
      <c r="S5" s="4">
        <v>5</v>
      </c>
    </row>
    <row r="6" spans="1:19" ht="15" customHeight="1" x14ac:dyDescent="0.45">
      <c r="A6" s="2">
        <v>5</v>
      </c>
      <c r="B6" s="3" t="s">
        <v>19</v>
      </c>
      <c r="C6" s="3" t="s">
        <v>20</v>
      </c>
      <c r="D6" s="3" t="s">
        <v>21</v>
      </c>
      <c r="E6" s="3" t="s">
        <v>21</v>
      </c>
      <c r="F6" s="3" t="s">
        <v>28</v>
      </c>
      <c r="G6" s="3" t="s">
        <v>23</v>
      </c>
      <c r="H6" s="2">
        <v>5</v>
      </c>
      <c r="I6" s="2">
        <v>5</v>
      </c>
      <c r="J6" s="2">
        <v>5</v>
      </c>
      <c r="K6" s="2">
        <v>3</v>
      </c>
      <c r="L6" s="2">
        <v>5</v>
      </c>
      <c r="M6" s="2">
        <v>5</v>
      </c>
      <c r="N6" s="2">
        <v>4</v>
      </c>
      <c r="O6" s="2">
        <v>3</v>
      </c>
      <c r="P6" s="2">
        <v>5</v>
      </c>
      <c r="Q6" s="2">
        <v>5</v>
      </c>
      <c r="R6" s="2">
        <v>4</v>
      </c>
      <c r="S6" s="2">
        <v>4</v>
      </c>
    </row>
    <row r="7" spans="1:19" ht="15" customHeight="1" x14ac:dyDescent="0.45">
      <c r="A7" s="4">
        <v>6</v>
      </c>
      <c r="B7" s="5" t="s">
        <v>26</v>
      </c>
      <c r="C7" s="5" t="s">
        <v>20</v>
      </c>
      <c r="D7" s="5" t="s">
        <v>27</v>
      </c>
      <c r="E7" s="5" t="s">
        <v>21</v>
      </c>
      <c r="F7" s="5" t="s">
        <v>22</v>
      </c>
      <c r="G7" s="5" t="s">
        <v>29</v>
      </c>
      <c r="H7" s="4">
        <v>5</v>
      </c>
      <c r="I7" s="4">
        <v>5</v>
      </c>
      <c r="J7" s="4">
        <v>4</v>
      </c>
      <c r="K7" s="4">
        <v>5</v>
      </c>
      <c r="L7" s="4">
        <v>5</v>
      </c>
      <c r="M7" s="4">
        <v>4</v>
      </c>
      <c r="N7" s="4">
        <v>4</v>
      </c>
      <c r="O7" s="4">
        <v>4</v>
      </c>
      <c r="P7" s="4">
        <v>4</v>
      </c>
      <c r="Q7" s="4">
        <v>4</v>
      </c>
      <c r="R7" s="4">
        <v>4</v>
      </c>
      <c r="S7" s="4">
        <v>5</v>
      </c>
    </row>
    <row r="8" spans="1:19" ht="15" customHeight="1" x14ac:dyDescent="0.45">
      <c r="A8" s="2">
        <v>7</v>
      </c>
      <c r="B8" s="3" t="s">
        <v>19</v>
      </c>
      <c r="C8" s="3" t="s">
        <v>24</v>
      </c>
      <c r="D8" s="3" t="s">
        <v>27</v>
      </c>
      <c r="E8" s="3" t="s">
        <v>21</v>
      </c>
      <c r="F8" s="3" t="s">
        <v>30</v>
      </c>
      <c r="G8" s="3" t="s">
        <v>31</v>
      </c>
      <c r="H8" s="2">
        <v>5</v>
      </c>
      <c r="I8" s="2">
        <v>4</v>
      </c>
      <c r="J8" s="2">
        <v>4</v>
      </c>
      <c r="K8" s="2">
        <v>4</v>
      </c>
      <c r="L8" s="2">
        <v>5</v>
      </c>
      <c r="M8" s="2">
        <v>5</v>
      </c>
      <c r="N8" s="2">
        <v>4</v>
      </c>
      <c r="O8" s="2">
        <v>5</v>
      </c>
      <c r="P8" s="2">
        <v>4</v>
      </c>
      <c r="Q8" s="2">
        <v>5</v>
      </c>
      <c r="R8" s="2">
        <v>5</v>
      </c>
      <c r="S8" s="2">
        <v>3</v>
      </c>
    </row>
    <row r="9" spans="1:19" ht="15" customHeight="1" x14ac:dyDescent="0.45">
      <c r="A9" s="4">
        <v>8</v>
      </c>
      <c r="B9" s="5" t="s">
        <v>19</v>
      </c>
      <c r="C9" s="5" t="s">
        <v>20</v>
      </c>
      <c r="D9" s="5" t="s">
        <v>21</v>
      </c>
      <c r="E9" s="5" t="s">
        <v>21</v>
      </c>
      <c r="F9" s="5" t="s">
        <v>22</v>
      </c>
      <c r="G9" s="5" t="s">
        <v>32</v>
      </c>
      <c r="H9" s="4">
        <v>4</v>
      </c>
      <c r="I9" s="4">
        <v>4</v>
      </c>
      <c r="J9" s="4">
        <v>5</v>
      </c>
      <c r="K9" s="4">
        <v>5</v>
      </c>
      <c r="L9" s="4">
        <v>5</v>
      </c>
      <c r="M9" s="4">
        <v>5</v>
      </c>
      <c r="N9" s="4">
        <v>4</v>
      </c>
      <c r="O9" s="4">
        <v>4</v>
      </c>
      <c r="P9" s="4">
        <v>4</v>
      </c>
      <c r="Q9" s="4">
        <v>5</v>
      </c>
      <c r="R9" s="4">
        <v>5</v>
      </c>
      <c r="S9" s="4">
        <v>3</v>
      </c>
    </row>
    <row r="10" spans="1:19" ht="15" customHeight="1" x14ac:dyDescent="0.45">
      <c r="A10" s="2">
        <v>9</v>
      </c>
      <c r="B10" s="3" t="s">
        <v>19</v>
      </c>
      <c r="C10" s="3" t="s">
        <v>20</v>
      </c>
      <c r="D10" s="3" t="s">
        <v>21</v>
      </c>
      <c r="E10" s="3" t="s">
        <v>21</v>
      </c>
      <c r="F10" s="3" t="s">
        <v>30</v>
      </c>
      <c r="G10" s="3" t="s">
        <v>23</v>
      </c>
      <c r="H10" s="2">
        <v>5</v>
      </c>
      <c r="I10" s="2">
        <v>4</v>
      </c>
      <c r="J10" s="2">
        <v>5</v>
      </c>
      <c r="K10" s="2">
        <v>4</v>
      </c>
      <c r="L10" s="2">
        <v>4</v>
      </c>
      <c r="M10" s="2">
        <v>5</v>
      </c>
      <c r="N10" s="2">
        <v>5</v>
      </c>
      <c r="O10" s="2">
        <v>5</v>
      </c>
      <c r="P10" s="2">
        <v>4</v>
      </c>
      <c r="Q10" s="2">
        <v>5</v>
      </c>
      <c r="R10" s="2">
        <v>5</v>
      </c>
      <c r="S10" s="2">
        <v>5</v>
      </c>
    </row>
    <row r="11" spans="1:19" ht="15" customHeight="1" x14ac:dyDescent="0.45">
      <c r="A11" s="4">
        <v>10</v>
      </c>
      <c r="B11" s="5" t="s">
        <v>19</v>
      </c>
      <c r="C11" s="5" t="s">
        <v>24</v>
      </c>
      <c r="D11" s="5" t="s">
        <v>21</v>
      </c>
      <c r="E11" s="5" t="s">
        <v>21</v>
      </c>
      <c r="F11" s="5" t="s">
        <v>28</v>
      </c>
      <c r="G11" s="5" t="s">
        <v>33</v>
      </c>
      <c r="H11" s="4">
        <v>5</v>
      </c>
      <c r="I11" s="4">
        <v>4</v>
      </c>
      <c r="J11" s="4">
        <v>4</v>
      </c>
      <c r="K11" s="4">
        <v>4</v>
      </c>
      <c r="L11" s="4">
        <v>5</v>
      </c>
      <c r="M11" s="4">
        <v>5</v>
      </c>
      <c r="N11" s="4">
        <v>4</v>
      </c>
      <c r="O11" s="4">
        <v>5</v>
      </c>
      <c r="P11" s="4">
        <v>5</v>
      </c>
      <c r="Q11" s="4">
        <v>4</v>
      </c>
      <c r="R11" s="4">
        <v>4</v>
      </c>
      <c r="S11" s="4">
        <v>4</v>
      </c>
    </row>
    <row r="12" spans="1:19" ht="15" customHeight="1" x14ac:dyDescent="0.45">
      <c r="A12" s="2">
        <v>11</v>
      </c>
      <c r="B12" s="3" t="s">
        <v>19</v>
      </c>
      <c r="C12" s="3" t="s">
        <v>20</v>
      </c>
      <c r="D12" s="3" t="s">
        <v>21</v>
      </c>
      <c r="E12" s="3" t="s">
        <v>21</v>
      </c>
      <c r="F12" s="3" t="s">
        <v>30</v>
      </c>
      <c r="G12" s="3" t="s">
        <v>23</v>
      </c>
      <c r="H12" s="2">
        <v>5</v>
      </c>
      <c r="I12" s="2">
        <v>4</v>
      </c>
      <c r="J12" s="2">
        <v>4</v>
      </c>
      <c r="K12" s="2">
        <v>4</v>
      </c>
      <c r="L12" s="2">
        <v>5</v>
      </c>
      <c r="M12" s="2">
        <v>5</v>
      </c>
      <c r="N12" s="2">
        <v>5</v>
      </c>
      <c r="O12" s="2">
        <v>3</v>
      </c>
      <c r="P12" s="2">
        <v>4</v>
      </c>
      <c r="Q12" s="2">
        <v>5</v>
      </c>
      <c r="R12" s="2">
        <v>4</v>
      </c>
      <c r="S12" s="2">
        <v>4</v>
      </c>
    </row>
    <row r="13" spans="1:19" ht="15" customHeight="1" x14ac:dyDescent="0.45">
      <c r="A13" s="4">
        <v>12</v>
      </c>
      <c r="B13" s="5" t="s">
        <v>19</v>
      </c>
      <c r="C13" s="5" t="s">
        <v>24</v>
      </c>
      <c r="D13" s="5" t="s">
        <v>21</v>
      </c>
      <c r="E13" s="5" t="s">
        <v>21</v>
      </c>
      <c r="F13" s="5" t="s">
        <v>30</v>
      </c>
      <c r="G13" s="5" t="s">
        <v>23</v>
      </c>
      <c r="H13" s="4">
        <v>5</v>
      </c>
      <c r="I13" s="4">
        <v>5</v>
      </c>
      <c r="J13" s="4">
        <v>4</v>
      </c>
      <c r="K13" s="4">
        <v>3</v>
      </c>
      <c r="L13" s="4">
        <v>4</v>
      </c>
      <c r="M13" s="4">
        <v>4</v>
      </c>
      <c r="N13" s="4">
        <v>5</v>
      </c>
      <c r="O13" s="4">
        <v>5</v>
      </c>
      <c r="P13" s="4">
        <v>5</v>
      </c>
      <c r="Q13" s="4">
        <v>5</v>
      </c>
      <c r="R13" s="4">
        <v>5</v>
      </c>
      <c r="S13" s="4">
        <v>5</v>
      </c>
    </row>
    <row r="14" spans="1:19" ht="15" customHeight="1" x14ac:dyDescent="0.45">
      <c r="A14" s="2">
        <v>13</v>
      </c>
      <c r="B14" s="3" t="s">
        <v>19</v>
      </c>
      <c r="C14" s="3" t="s">
        <v>20</v>
      </c>
      <c r="D14" s="3" t="s">
        <v>21</v>
      </c>
      <c r="E14" s="3" t="s">
        <v>21</v>
      </c>
      <c r="F14" s="3" t="s">
        <v>22</v>
      </c>
      <c r="G14" s="3" t="s">
        <v>34</v>
      </c>
      <c r="H14" s="2">
        <v>4</v>
      </c>
      <c r="I14" s="2">
        <v>4</v>
      </c>
      <c r="J14" s="2">
        <v>3</v>
      </c>
      <c r="K14" s="2">
        <v>1</v>
      </c>
      <c r="L14" s="2">
        <v>3</v>
      </c>
      <c r="M14" s="2">
        <v>3</v>
      </c>
      <c r="N14" s="2">
        <v>5</v>
      </c>
      <c r="O14" s="2">
        <v>5</v>
      </c>
      <c r="P14" s="2">
        <v>4</v>
      </c>
      <c r="Q14" s="2">
        <v>4</v>
      </c>
      <c r="R14" s="2">
        <v>5</v>
      </c>
      <c r="S14" s="2">
        <v>4</v>
      </c>
    </row>
    <row r="15" spans="1:19" ht="15" customHeight="1" x14ac:dyDescent="0.45">
      <c r="A15" s="4">
        <v>14</v>
      </c>
      <c r="B15" s="5" t="s">
        <v>35</v>
      </c>
      <c r="C15" s="5" t="s">
        <v>24</v>
      </c>
      <c r="D15" s="5" t="s">
        <v>27</v>
      </c>
      <c r="E15" s="5" t="s">
        <v>21</v>
      </c>
      <c r="F15" s="5" t="s">
        <v>28</v>
      </c>
      <c r="G15" s="5" t="s">
        <v>31</v>
      </c>
      <c r="H15" s="4">
        <v>5</v>
      </c>
      <c r="I15" s="4">
        <v>5</v>
      </c>
      <c r="J15" s="4">
        <v>4</v>
      </c>
      <c r="K15" s="4">
        <v>2</v>
      </c>
      <c r="L15" s="4">
        <v>4</v>
      </c>
      <c r="M15" s="4">
        <v>4</v>
      </c>
      <c r="N15" s="4">
        <v>5</v>
      </c>
      <c r="O15" s="4">
        <v>5</v>
      </c>
      <c r="P15" s="4">
        <v>5</v>
      </c>
      <c r="Q15" s="4">
        <v>5</v>
      </c>
      <c r="R15" s="4">
        <v>5</v>
      </c>
      <c r="S15" s="4">
        <v>4</v>
      </c>
    </row>
    <row r="16" spans="1:19" ht="15" customHeight="1" x14ac:dyDescent="0.45">
      <c r="A16" s="2">
        <v>15</v>
      </c>
      <c r="B16" s="3" t="s">
        <v>19</v>
      </c>
      <c r="C16" s="3" t="s">
        <v>20</v>
      </c>
      <c r="D16" s="3" t="s">
        <v>21</v>
      </c>
      <c r="E16" s="3" t="s">
        <v>21</v>
      </c>
      <c r="F16" s="3" t="s">
        <v>30</v>
      </c>
      <c r="G16" s="3" t="s">
        <v>23</v>
      </c>
      <c r="H16" s="2">
        <v>5</v>
      </c>
      <c r="I16" s="2">
        <v>4</v>
      </c>
      <c r="J16" s="2">
        <v>5</v>
      </c>
      <c r="K16" s="2">
        <v>3</v>
      </c>
      <c r="L16" s="2">
        <v>5</v>
      </c>
      <c r="M16" s="2">
        <v>5</v>
      </c>
      <c r="N16" s="2">
        <v>5</v>
      </c>
      <c r="O16" s="2">
        <v>4</v>
      </c>
      <c r="P16" s="2">
        <v>5</v>
      </c>
      <c r="Q16" s="2">
        <v>5</v>
      </c>
      <c r="R16" s="2">
        <v>5</v>
      </c>
      <c r="S16" s="2">
        <v>5</v>
      </c>
    </row>
    <row r="17" spans="1:19" ht="15" customHeight="1" x14ac:dyDescent="0.45">
      <c r="A17" s="4">
        <v>16</v>
      </c>
      <c r="B17" s="5" t="s">
        <v>19</v>
      </c>
      <c r="C17" s="5" t="s">
        <v>24</v>
      </c>
      <c r="D17" s="5" t="s">
        <v>21</v>
      </c>
      <c r="E17" s="5" t="s">
        <v>21</v>
      </c>
      <c r="F17" s="5" t="s">
        <v>22</v>
      </c>
      <c r="G17" s="5" t="s">
        <v>23</v>
      </c>
      <c r="H17" s="4">
        <v>5</v>
      </c>
      <c r="I17" s="4">
        <v>5</v>
      </c>
      <c r="J17" s="4">
        <v>5</v>
      </c>
      <c r="K17" s="4">
        <v>4</v>
      </c>
      <c r="L17" s="4">
        <v>4</v>
      </c>
      <c r="M17" s="4">
        <v>4</v>
      </c>
      <c r="N17" s="4">
        <v>5</v>
      </c>
      <c r="O17" s="4">
        <v>5</v>
      </c>
      <c r="P17" s="4">
        <v>5</v>
      </c>
      <c r="Q17" s="4">
        <v>4</v>
      </c>
      <c r="R17" s="4">
        <v>5</v>
      </c>
      <c r="S17" s="4">
        <v>5</v>
      </c>
    </row>
    <row r="18" spans="1:19" ht="15" customHeight="1" x14ac:dyDescent="0.45">
      <c r="A18" s="2">
        <v>17</v>
      </c>
      <c r="B18" s="3" t="s">
        <v>19</v>
      </c>
      <c r="C18" s="3" t="s">
        <v>20</v>
      </c>
      <c r="D18" s="3" t="s">
        <v>27</v>
      </c>
      <c r="E18" s="3" t="s">
        <v>21</v>
      </c>
      <c r="F18" s="3" t="s">
        <v>28</v>
      </c>
      <c r="G18" s="3" t="s">
        <v>33</v>
      </c>
      <c r="H18" s="2">
        <v>5</v>
      </c>
      <c r="I18" s="2">
        <v>4</v>
      </c>
      <c r="J18" s="2">
        <v>5</v>
      </c>
      <c r="K18" s="2">
        <v>3</v>
      </c>
      <c r="L18" s="2">
        <v>4</v>
      </c>
      <c r="M18" s="2">
        <v>4</v>
      </c>
      <c r="N18" s="2">
        <v>4</v>
      </c>
      <c r="O18" s="2">
        <v>5</v>
      </c>
      <c r="P18" s="2">
        <v>5</v>
      </c>
      <c r="Q18" s="2">
        <v>5</v>
      </c>
      <c r="R18" s="2">
        <v>4</v>
      </c>
      <c r="S18" s="2">
        <v>5</v>
      </c>
    </row>
    <row r="19" spans="1:19" ht="15" customHeight="1" x14ac:dyDescent="0.45">
      <c r="A19" s="4">
        <v>18</v>
      </c>
      <c r="B19" s="5" t="s">
        <v>19</v>
      </c>
      <c r="C19" s="5" t="s">
        <v>24</v>
      </c>
      <c r="D19" s="5" t="s">
        <v>21</v>
      </c>
      <c r="E19" s="5" t="s">
        <v>21</v>
      </c>
      <c r="F19" s="5" t="s">
        <v>22</v>
      </c>
      <c r="G19" s="5" t="s">
        <v>29</v>
      </c>
      <c r="H19" s="4">
        <v>5</v>
      </c>
      <c r="I19" s="4">
        <v>5</v>
      </c>
      <c r="J19" s="4">
        <v>4</v>
      </c>
      <c r="K19" s="4">
        <v>4</v>
      </c>
      <c r="L19" s="4">
        <v>4</v>
      </c>
      <c r="M19" s="4">
        <v>4</v>
      </c>
      <c r="N19" s="4">
        <v>5</v>
      </c>
      <c r="O19" s="4">
        <v>5</v>
      </c>
      <c r="P19" s="4">
        <v>4</v>
      </c>
      <c r="Q19" s="4">
        <v>5</v>
      </c>
      <c r="R19" s="4">
        <v>4</v>
      </c>
      <c r="S19" s="4">
        <v>5</v>
      </c>
    </row>
    <row r="20" spans="1:19" ht="15" customHeight="1" x14ac:dyDescent="0.45">
      <c r="A20" s="2">
        <v>19</v>
      </c>
      <c r="B20" s="3" t="s">
        <v>19</v>
      </c>
      <c r="C20" s="3" t="s">
        <v>20</v>
      </c>
      <c r="D20" s="3" t="s">
        <v>21</v>
      </c>
      <c r="E20" s="3" t="s">
        <v>21</v>
      </c>
      <c r="F20" s="3" t="s">
        <v>22</v>
      </c>
      <c r="G20" s="3" t="s">
        <v>36</v>
      </c>
      <c r="H20" s="2">
        <v>4</v>
      </c>
      <c r="I20" s="2">
        <v>4</v>
      </c>
      <c r="J20" s="2">
        <v>4</v>
      </c>
      <c r="K20" s="2">
        <v>3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</row>
    <row r="21" spans="1:19" ht="15" customHeight="1" x14ac:dyDescent="0.45">
      <c r="A21" s="4">
        <v>20</v>
      </c>
      <c r="B21" s="5" t="s">
        <v>19</v>
      </c>
      <c r="C21" s="5" t="s">
        <v>20</v>
      </c>
      <c r="D21" s="5" t="s">
        <v>21</v>
      </c>
      <c r="E21" s="5" t="s">
        <v>21</v>
      </c>
      <c r="F21" s="5" t="s">
        <v>30</v>
      </c>
      <c r="G21" s="5" t="s">
        <v>25</v>
      </c>
      <c r="H21" s="4">
        <v>5</v>
      </c>
      <c r="I21" s="4">
        <v>5</v>
      </c>
      <c r="J21" s="4">
        <v>4</v>
      </c>
      <c r="K21" s="4">
        <v>5</v>
      </c>
      <c r="L21" s="4">
        <v>5</v>
      </c>
      <c r="M21" s="4">
        <v>4</v>
      </c>
      <c r="N21" s="4">
        <v>4</v>
      </c>
      <c r="O21" s="4">
        <v>4</v>
      </c>
      <c r="P21" s="4">
        <v>5</v>
      </c>
      <c r="Q21" s="4">
        <v>4</v>
      </c>
      <c r="R21" s="4">
        <v>5</v>
      </c>
      <c r="S21" s="4">
        <v>5</v>
      </c>
    </row>
    <row r="22" spans="1:19" ht="15" customHeight="1" x14ac:dyDescent="0.45">
      <c r="A22" s="2">
        <v>21</v>
      </c>
      <c r="B22" s="3" t="s">
        <v>19</v>
      </c>
      <c r="C22" s="3" t="s">
        <v>24</v>
      </c>
      <c r="D22" s="3" t="s">
        <v>21</v>
      </c>
      <c r="E22" s="3" t="s">
        <v>21</v>
      </c>
      <c r="F22" s="3" t="s">
        <v>28</v>
      </c>
      <c r="G22" s="3" t="s">
        <v>33</v>
      </c>
      <c r="H22" s="2">
        <v>5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5</v>
      </c>
      <c r="O22" s="2">
        <v>5</v>
      </c>
      <c r="P22" s="2">
        <v>5</v>
      </c>
      <c r="Q22" s="2">
        <v>5</v>
      </c>
      <c r="R22" s="2">
        <v>5</v>
      </c>
      <c r="S22" s="2">
        <v>5</v>
      </c>
    </row>
    <row r="23" spans="1:19" ht="15" customHeight="1" x14ac:dyDescent="0.45">
      <c r="A23" s="4">
        <v>22</v>
      </c>
      <c r="B23" s="5" t="s">
        <v>19</v>
      </c>
      <c r="C23" s="5" t="s">
        <v>20</v>
      </c>
      <c r="D23" s="5" t="s">
        <v>21</v>
      </c>
      <c r="E23" s="5" t="s">
        <v>21</v>
      </c>
      <c r="F23" s="5" t="s">
        <v>28</v>
      </c>
      <c r="G23" s="5" t="s">
        <v>23</v>
      </c>
      <c r="H23" s="4">
        <v>5</v>
      </c>
      <c r="I23" s="4">
        <v>4</v>
      </c>
      <c r="J23" s="4">
        <v>3</v>
      </c>
      <c r="K23" s="4">
        <v>2</v>
      </c>
      <c r="L23" s="4">
        <v>3</v>
      </c>
      <c r="M23" s="4">
        <v>4</v>
      </c>
      <c r="N23" s="4">
        <v>5</v>
      </c>
      <c r="O23" s="4">
        <v>5</v>
      </c>
      <c r="P23" s="4">
        <v>5</v>
      </c>
      <c r="Q23" s="4">
        <v>5</v>
      </c>
      <c r="R23" s="4">
        <v>5</v>
      </c>
      <c r="S23" s="4">
        <v>5</v>
      </c>
    </row>
    <row r="24" spans="1:19" ht="15" customHeight="1" x14ac:dyDescent="0.45">
      <c r="A24" s="2">
        <v>23</v>
      </c>
      <c r="B24" s="3" t="s">
        <v>26</v>
      </c>
      <c r="C24" s="3" t="s">
        <v>24</v>
      </c>
      <c r="D24" s="3" t="s">
        <v>27</v>
      </c>
      <c r="E24" s="3" t="s">
        <v>21</v>
      </c>
      <c r="F24" s="3" t="s">
        <v>30</v>
      </c>
      <c r="G24" s="3" t="s">
        <v>29</v>
      </c>
      <c r="H24" s="2">
        <v>4</v>
      </c>
      <c r="I24" s="2">
        <v>4</v>
      </c>
      <c r="J24" s="2">
        <v>5</v>
      </c>
      <c r="K24" s="2">
        <v>5</v>
      </c>
      <c r="L24" s="2">
        <v>5</v>
      </c>
      <c r="M24" s="2">
        <v>5</v>
      </c>
      <c r="N24" s="2">
        <v>4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</row>
    <row r="25" spans="1:19" ht="15" customHeight="1" x14ac:dyDescent="0.45">
      <c r="A25" s="4">
        <v>24</v>
      </c>
      <c r="B25" s="5" t="s">
        <v>19</v>
      </c>
      <c r="C25" s="5" t="s">
        <v>20</v>
      </c>
      <c r="D25" s="5" t="s">
        <v>21</v>
      </c>
      <c r="E25" s="5" t="s">
        <v>21</v>
      </c>
      <c r="F25" s="5" t="s">
        <v>28</v>
      </c>
      <c r="G25" s="5" t="s">
        <v>37</v>
      </c>
      <c r="H25" s="4">
        <v>5</v>
      </c>
      <c r="I25" s="4">
        <v>4</v>
      </c>
      <c r="J25" s="4">
        <v>4</v>
      </c>
      <c r="K25" s="4">
        <v>4</v>
      </c>
      <c r="L25" s="4">
        <v>4</v>
      </c>
      <c r="M25" s="4">
        <v>5</v>
      </c>
      <c r="N25" s="4">
        <v>4</v>
      </c>
      <c r="O25" s="4">
        <v>5</v>
      </c>
      <c r="P25" s="4">
        <v>5</v>
      </c>
      <c r="Q25" s="4">
        <v>5</v>
      </c>
      <c r="R25" s="4">
        <v>5</v>
      </c>
      <c r="S25" s="4">
        <v>5</v>
      </c>
    </row>
    <row r="26" spans="1:19" ht="15" customHeight="1" x14ac:dyDescent="0.45">
      <c r="A26" s="2">
        <v>25</v>
      </c>
      <c r="B26" s="3" t="s">
        <v>19</v>
      </c>
      <c r="C26" s="3" t="s">
        <v>20</v>
      </c>
      <c r="D26" s="3" t="s">
        <v>21</v>
      </c>
      <c r="E26" s="3" t="s">
        <v>21</v>
      </c>
      <c r="F26" s="3" t="s">
        <v>28</v>
      </c>
      <c r="G26" s="3" t="s">
        <v>38</v>
      </c>
      <c r="H26" s="2">
        <v>3</v>
      </c>
      <c r="I26" s="2">
        <v>3</v>
      </c>
      <c r="J26" s="2">
        <v>4</v>
      </c>
      <c r="K26" s="2">
        <v>4</v>
      </c>
      <c r="L26" s="2">
        <v>3</v>
      </c>
      <c r="M26" s="2">
        <v>4</v>
      </c>
      <c r="N26" s="2">
        <v>5</v>
      </c>
      <c r="O26" s="2">
        <v>5</v>
      </c>
      <c r="P26" s="2">
        <v>5</v>
      </c>
      <c r="Q26" s="2">
        <v>4</v>
      </c>
      <c r="R26" s="2">
        <v>5</v>
      </c>
      <c r="S26" s="2">
        <v>5</v>
      </c>
    </row>
    <row r="27" spans="1:19" ht="15" customHeight="1" x14ac:dyDescent="0.45">
      <c r="A27" s="4">
        <v>26</v>
      </c>
      <c r="B27" s="5" t="s">
        <v>19</v>
      </c>
      <c r="C27" s="5" t="s">
        <v>24</v>
      </c>
      <c r="D27" s="5" t="s">
        <v>21</v>
      </c>
      <c r="E27" s="5" t="s">
        <v>21</v>
      </c>
      <c r="F27" s="5" t="s">
        <v>28</v>
      </c>
      <c r="G27" s="5" t="s">
        <v>31</v>
      </c>
      <c r="H27" s="4">
        <v>5</v>
      </c>
      <c r="I27" s="4">
        <v>4</v>
      </c>
      <c r="J27" s="4">
        <v>4</v>
      </c>
      <c r="K27" s="4">
        <v>4</v>
      </c>
      <c r="L27" s="4">
        <v>5</v>
      </c>
      <c r="M27" s="4">
        <v>4</v>
      </c>
      <c r="N27" s="4">
        <v>4</v>
      </c>
      <c r="O27" s="4">
        <v>5</v>
      </c>
      <c r="P27" s="4">
        <v>5</v>
      </c>
      <c r="Q27" s="4">
        <v>4</v>
      </c>
      <c r="R27" s="4">
        <v>4</v>
      </c>
      <c r="S27" s="4">
        <v>5</v>
      </c>
    </row>
    <row r="28" spans="1:19" ht="15" customHeight="1" x14ac:dyDescent="0.45">
      <c r="A28" s="2">
        <v>27</v>
      </c>
      <c r="B28" s="3" t="s">
        <v>35</v>
      </c>
      <c r="C28" s="3" t="s">
        <v>20</v>
      </c>
      <c r="D28" s="3" t="s">
        <v>27</v>
      </c>
      <c r="E28" s="3" t="s">
        <v>21</v>
      </c>
      <c r="F28" s="3" t="s">
        <v>28</v>
      </c>
      <c r="G28" s="3" t="s">
        <v>39</v>
      </c>
      <c r="H28" s="2">
        <v>5</v>
      </c>
      <c r="I28" s="2">
        <v>4</v>
      </c>
      <c r="J28" s="2">
        <v>4</v>
      </c>
      <c r="K28" s="2">
        <v>3</v>
      </c>
      <c r="L28" s="2">
        <v>4</v>
      </c>
      <c r="M28" s="2">
        <v>4</v>
      </c>
      <c r="N28" s="2">
        <v>4</v>
      </c>
      <c r="O28" s="2">
        <v>4</v>
      </c>
      <c r="P28" s="2">
        <v>5</v>
      </c>
      <c r="Q28" s="2">
        <v>5</v>
      </c>
      <c r="R28" s="2">
        <v>5</v>
      </c>
      <c r="S28" s="2">
        <v>4</v>
      </c>
    </row>
    <row r="29" spans="1:19" ht="15" customHeight="1" x14ac:dyDescent="0.45">
      <c r="A29" s="4">
        <v>28</v>
      </c>
      <c r="B29" s="5" t="s">
        <v>19</v>
      </c>
      <c r="C29" s="5" t="s">
        <v>24</v>
      </c>
      <c r="D29" s="5" t="s">
        <v>21</v>
      </c>
      <c r="E29" s="5" t="s">
        <v>21</v>
      </c>
      <c r="F29" s="5" t="s">
        <v>22</v>
      </c>
      <c r="G29" s="5" t="s">
        <v>23</v>
      </c>
      <c r="H29" s="4">
        <v>5</v>
      </c>
      <c r="I29" s="4">
        <v>4</v>
      </c>
      <c r="J29" s="4">
        <v>5</v>
      </c>
      <c r="K29" s="4">
        <v>2</v>
      </c>
      <c r="L29" s="4">
        <v>2</v>
      </c>
      <c r="M29" s="4">
        <v>3</v>
      </c>
      <c r="N29" s="4">
        <v>5</v>
      </c>
      <c r="O29" s="4">
        <v>5</v>
      </c>
      <c r="P29" s="4">
        <v>5</v>
      </c>
      <c r="Q29" s="4">
        <v>5</v>
      </c>
      <c r="R29" s="4">
        <v>5</v>
      </c>
      <c r="S29" s="4">
        <v>5</v>
      </c>
    </row>
    <row r="30" spans="1:19" ht="15" customHeight="1" x14ac:dyDescent="0.45">
      <c r="A30" s="2">
        <v>29</v>
      </c>
      <c r="B30" s="3" t="s">
        <v>19</v>
      </c>
      <c r="C30" s="3" t="s">
        <v>20</v>
      </c>
      <c r="D30" s="3" t="s">
        <v>21</v>
      </c>
      <c r="E30" s="3" t="s">
        <v>21</v>
      </c>
      <c r="F30" s="3" t="s">
        <v>28</v>
      </c>
      <c r="G30" s="3" t="s">
        <v>23</v>
      </c>
      <c r="H30" s="2">
        <v>5</v>
      </c>
      <c r="I30" s="2">
        <v>5</v>
      </c>
      <c r="J30" s="2">
        <v>5</v>
      </c>
      <c r="K30" s="2">
        <v>3</v>
      </c>
      <c r="L30" s="2">
        <v>4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  <c r="R30" s="2">
        <v>5</v>
      </c>
      <c r="S30" s="2">
        <v>5</v>
      </c>
    </row>
    <row r="31" spans="1:19" ht="15" customHeight="1" x14ac:dyDescent="0.45">
      <c r="A31" s="4">
        <v>30</v>
      </c>
      <c r="B31" s="5" t="s">
        <v>19</v>
      </c>
      <c r="C31" s="5" t="s">
        <v>24</v>
      </c>
      <c r="D31" s="5" t="s">
        <v>21</v>
      </c>
      <c r="E31" s="5" t="s">
        <v>21</v>
      </c>
      <c r="F31" s="5" t="s">
        <v>22</v>
      </c>
      <c r="G31" s="5" t="s">
        <v>31</v>
      </c>
      <c r="H31" s="4">
        <v>5</v>
      </c>
      <c r="I31" s="4">
        <v>4</v>
      </c>
      <c r="J31" s="4">
        <v>5</v>
      </c>
      <c r="K31" s="4">
        <v>4</v>
      </c>
      <c r="L31" s="4">
        <v>4</v>
      </c>
      <c r="M31" s="4">
        <v>5</v>
      </c>
      <c r="N31" s="4">
        <v>5</v>
      </c>
      <c r="O31" s="4">
        <v>5</v>
      </c>
      <c r="P31" s="4">
        <v>5</v>
      </c>
      <c r="Q31" s="4">
        <v>5</v>
      </c>
      <c r="R31" s="4">
        <v>5</v>
      </c>
      <c r="S31" s="4">
        <v>5</v>
      </c>
    </row>
    <row r="32" spans="1:19" ht="15" customHeight="1" x14ac:dyDescent="0.45">
      <c r="A32" s="2">
        <v>31</v>
      </c>
      <c r="B32" s="3" t="s">
        <v>19</v>
      </c>
      <c r="C32" s="3" t="s">
        <v>20</v>
      </c>
      <c r="D32" s="3" t="s">
        <v>21</v>
      </c>
      <c r="E32" s="3" t="s">
        <v>21</v>
      </c>
      <c r="F32" s="3" t="s">
        <v>28</v>
      </c>
      <c r="G32" s="3" t="s">
        <v>40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  <c r="R32" s="2">
        <v>5</v>
      </c>
      <c r="S32" s="2">
        <v>5</v>
      </c>
    </row>
    <row r="33" spans="1:19" ht="15" customHeight="1" x14ac:dyDescent="0.45">
      <c r="A33" s="4">
        <v>32</v>
      </c>
      <c r="B33" s="5" t="s">
        <v>41</v>
      </c>
      <c r="C33" s="5" t="s">
        <v>24</v>
      </c>
      <c r="D33" s="5" t="s">
        <v>27</v>
      </c>
      <c r="E33" s="5" t="s">
        <v>21</v>
      </c>
      <c r="F33" s="5" t="s">
        <v>28</v>
      </c>
      <c r="G33" s="5" t="s">
        <v>38</v>
      </c>
      <c r="H33" s="4">
        <v>5</v>
      </c>
      <c r="I33" s="4">
        <v>5</v>
      </c>
      <c r="J33" s="4">
        <v>5</v>
      </c>
      <c r="K33" s="4">
        <v>5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5</v>
      </c>
      <c r="R33" s="4">
        <v>5</v>
      </c>
      <c r="S33" s="4">
        <v>5</v>
      </c>
    </row>
    <row r="34" spans="1:19" ht="15" customHeight="1" x14ac:dyDescent="0.45">
      <c r="A34" s="2">
        <v>33</v>
      </c>
      <c r="B34" s="3" t="s">
        <v>19</v>
      </c>
      <c r="C34" s="3" t="s">
        <v>20</v>
      </c>
      <c r="D34" s="3" t="s">
        <v>21</v>
      </c>
      <c r="E34" s="3" t="s">
        <v>21</v>
      </c>
      <c r="F34" s="3" t="s">
        <v>28</v>
      </c>
      <c r="G34" s="3" t="s">
        <v>23</v>
      </c>
      <c r="H34" s="2">
        <v>5</v>
      </c>
      <c r="I34" s="2">
        <v>5</v>
      </c>
      <c r="J34" s="2">
        <v>4</v>
      </c>
      <c r="K34" s="2">
        <v>4</v>
      </c>
      <c r="L34" s="2">
        <v>4</v>
      </c>
      <c r="M34" s="2">
        <v>5</v>
      </c>
      <c r="N34" s="2">
        <v>4</v>
      </c>
      <c r="O34" s="2">
        <v>5</v>
      </c>
      <c r="P34" s="2">
        <v>5</v>
      </c>
      <c r="Q34" s="2">
        <v>5</v>
      </c>
      <c r="R34" s="2">
        <v>5</v>
      </c>
      <c r="S34" s="2">
        <v>4</v>
      </c>
    </row>
    <row r="35" spans="1:19" ht="15" customHeight="1" x14ac:dyDescent="0.45">
      <c r="A35" s="4">
        <v>34</v>
      </c>
      <c r="B35" s="5" t="s">
        <v>19</v>
      </c>
      <c r="C35" s="5" t="s">
        <v>24</v>
      </c>
      <c r="D35" s="5" t="s">
        <v>21</v>
      </c>
      <c r="E35" s="5" t="s">
        <v>21</v>
      </c>
      <c r="F35" s="5" t="s">
        <v>28</v>
      </c>
      <c r="G35" s="5" t="s">
        <v>32</v>
      </c>
      <c r="H35" s="4">
        <v>5</v>
      </c>
      <c r="I35" s="4">
        <v>4</v>
      </c>
      <c r="J35" s="4">
        <v>4</v>
      </c>
      <c r="K35" s="4">
        <v>4</v>
      </c>
      <c r="L35" s="4">
        <v>5</v>
      </c>
      <c r="M35" s="4">
        <v>5</v>
      </c>
      <c r="N35" s="4">
        <v>4</v>
      </c>
      <c r="O35" s="4">
        <v>4</v>
      </c>
      <c r="P35" s="4">
        <v>4</v>
      </c>
      <c r="Q35" s="4">
        <v>5</v>
      </c>
      <c r="R35" s="4">
        <v>5</v>
      </c>
      <c r="S35" s="4">
        <v>5</v>
      </c>
    </row>
    <row r="36" spans="1:19" ht="15" customHeight="1" x14ac:dyDescent="0.45">
      <c r="A36" s="2">
        <v>35</v>
      </c>
      <c r="B36" s="3" t="s">
        <v>19</v>
      </c>
      <c r="C36" s="3" t="s">
        <v>20</v>
      </c>
      <c r="D36" s="3" t="s">
        <v>21</v>
      </c>
      <c r="E36" s="3" t="s">
        <v>21</v>
      </c>
      <c r="F36" s="3" t="s">
        <v>28</v>
      </c>
      <c r="G36" s="3" t="s">
        <v>42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4</v>
      </c>
      <c r="N36" s="2">
        <v>5</v>
      </c>
      <c r="O36" s="2">
        <v>4</v>
      </c>
      <c r="P36" s="2">
        <v>4</v>
      </c>
      <c r="Q36" s="2">
        <v>4</v>
      </c>
      <c r="R36" s="2">
        <v>5</v>
      </c>
      <c r="S36" s="2">
        <v>5</v>
      </c>
    </row>
    <row r="37" spans="1:19" ht="15" customHeight="1" x14ac:dyDescent="0.45">
      <c r="A37" s="4">
        <v>36</v>
      </c>
      <c r="B37" s="5" t="s">
        <v>19</v>
      </c>
      <c r="C37" s="5" t="s">
        <v>20</v>
      </c>
      <c r="D37" s="5" t="s">
        <v>21</v>
      </c>
      <c r="E37" s="5" t="s">
        <v>21</v>
      </c>
      <c r="F37" s="5" t="s">
        <v>28</v>
      </c>
      <c r="G37" s="5" t="s">
        <v>33</v>
      </c>
      <c r="H37" s="4">
        <v>5</v>
      </c>
      <c r="I37" s="4">
        <v>4</v>
      </c>
      <c r="J37" s="4">
        <v>4</v>
      </c>
      <c r="K37" s="4">
        <v>4</v>
      </c>
      <c r="L37" s="4">
        <v>5</v>
      </c>
      <c r="M37" s="4">
        <v>5</v>
      </c>
      <c r="N37" s="4">
        <v>4</v>
      </c>
      <c r="O37" s="4">
        <v>5</v>
      </c>
      <c r="P37" s="4">
        <v>5</v>
      </c>
      <c r="Q37" s="4">
        <v>5</v>
      </c>
      <c r="R37" s="4">
        <v>5</v>
      </c>
      <c r="S37" s="4">
        <v>5</v>
      </c>
    </row>
    <row r="38" spans="1:19" ht="15" customHeight="1" x14ac:dyDescent="0.45">
      <c r="A38" s="2">
        <v>37</v>
      </c>
      <c r="B38" s="3" t="s">
        <v>19</v>
      </c>
      <c r="C38" s="3" t="s">
        <v>24</v>
      </c>
      <c r="D38" s="3" t="s">
        <v>21</v>
      </c>
      <c r="E38" s="3" t="s">
        <v>21</v>
      </c>
      <c r="F38" s="3" t="s">
        <v>28</v>
      </c>
      <c r="G38" s="3" t="s">
        <v>32</v>
      </c>
      <c r="H38" s="2">
        <v>5</v>
      </c>
      <c r="I38" s="2">
        <v>4</v>
      </c>
      <c r="J38" s="2">
        <v>4</v>
      </c>
      <c r="K38" s="2">
        <v>4</v>
      </c>
      <c r="L38" s="2">
        <v>4</v>
      </c>
      <c r="M38" s="2">
        <v>4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</row>
    <row r="39" spans="1:19" ht="15" customHeight="1" x14ac:dyDescent="0.45">
      <c r="A39" s="4">
        <v>38</v>
      </c>
      <c r="B39" s="5" t="s">
        <v>19</v>
      </c>
      <c r="C39" s="5" t="s">
        <v>24</v>
      </c>
      <c r="D39" s="5" t="s">
        <v>21</v>
      </c>
      <c r="E39" s="5" t="s">
        <v>21</v>
      </c>
      <c r="F39" s="5" t="s">
        <v>28</v>
      </c>
      <c r="G39" s="5" t="s">
        <v>29</v>
      </c>
      <c r="H39" s="4">
        <v>4</v>
      </c>
      <c r="I39" s="4">
        <v>4</v>
      </c>
      <c r="J39" s="4">
        <v>4</v>
      </c>
      <c r="K39" s="4">
        <v>3</v>
      </c>
      <c r="L39" s="4">
        <v>3</v>
      </c>
      <c r="M39" s="4">
        <v>4</v>
      </c>
      <c r="N39" s="4">
        <v>5</v>
      </c>
      <c r="O39" s="4">
        <v>5</v>
      </c>
      <c r="P39" s="4">
        <v>5</v>
      </c>
      <c r="Q39" s="4">
        <v>5</v>
      </c>
      <c r="R39" s="4">
        <v>5</v>
      </c>
      <c r="S39" s="4">
        <v>5</v>
      </c>
    </row>
    <row r="40" spans="1:19" ht="15" customHeight="1" x14ac:dyDescent="0.45">
      <c r="A40" s="2">
        <v>39</v>
      </c>
      <c r="B40" s="3" t="s">
        <v>19</v>
      </c>
      <c r="C40" s="3" t="s">
        <v>20</v>
      </c>
      <c r="D40" s="3" t="s">
        <v>21</v>
      </c>
      <c r="E40" s="3" t="s">
        <v>21</v>
      </c>
      <c r="F40" s="3" t="s">
        <v>28</v>
      </c>
      <c r="G40" s="3" t="s">
        <v>23</v>
      </c>
      <c r="H40" s="2">
        <v>4</v>
      </c>
      <c r="I40" s="2">
        <v>5</v>
      </c>
      <c r="J40" s="2">
        <v>5</v>
      </c>
      <c r="K40" s="2">
        <v>5</v>
      </c>
      <c r="L40" s="2">
        <v>5</v>
      </c>
      <c r="M40" s="2">
        <v>4</v>
      </c>
      <c r="N40" s="2">
        <v>3</v>
      </c>
      <c r="O40" s="2">
        <v>4</v>
      </c>
      <c r="P40" s="2">
        <v>4</v>
      </c>
      <c r="Q40" s="2">
        <v>5</v>
      </c>
      <c r="R40" s="2">
        <v>4</v>
      </c>
      <c r="S40" s="2">
        <v>2</v>
      </c>
    </row>
    <row r="41" spans="1:19" ht="15" customHeight="1" x14ac:dyDescent="0.45">
      <c r="A41" s="4">
        <v>40</v>
      </c>
      <c r="B41" s="5" t="s">
        <v>19</v>
      </c>
      <c r="C41" s="5" t="s">
        <v>20</v>
      </c>
      <c r="D41" s="5" t="s">
        <v>21</v>
      </c>
      <c r="E41" s="5" t="s">
        <v>21</v>
      </c>
      <c r="F41" s="5" t="s">
        <v>30</v>
      </c>
      <c r="G41" s="5" t="s">
        <v>29</v>
      </c>
      <c r="H41" s="4">
        <v>5</v>
      </c>
      <c r="I41" s="4">
        <v>4</v>
      </c>
      <c r="J41" s="4">
        <v>4</v>
      </c>
      <c r="K41" s="4">
        <v>4</v>
      </c>
      <c r="L41" s="4">
        <v>5</v>
      </c>
      <c r="M41" s="4">
        <v>5</v>
      </c>
      <c r="N41" s="4">
        <v>4</v>
      </c>
      <c r="O41" s="4">
        <v>4</v>
      </c>
      <c r="P41" s="4">
        <v>5</v>
      </c>
      <c r="Q41" s="4">
        <v>4</v>
      </c>
      <c r="R41" s="4">
        <v>4</v>
      </c>
      <c r="S41" s="4">
        <v>5</v>
      </c>
    </row>
    <row r="42" spans="1:19" ht="15" customHeight="1" x14ac:dyDescent="0.45">
      <c r="A42" s="2">
        <v>41</v>
      </c>
      <c r="B42" s="3" t="s">
        <v>26</v>
      </c>
      <c r="C42" s="3" t="s">
        <v>20</v>
      </c>
      <c r="D42" s="3" t="s">
        <v>21</v>
      </c>
      <c r="E42" s="3" t="s">
        <v>21</v>
      </c>
      <c r="F42" s="3" t="s">
        <v>28</v>
      </c>
      <c r="G42" s="3" t="s">
        <v>25</v>
      </c>
      <c r="H42" s="2">
        <v>4</v>
      </c>
      <c r="I42" s="2">
        <v>4</v>
      </c>
      <c r="J42" s="2">
        <v>5</v>
      </c>
      <c r="K42" s="2">
        <v>2</v>
      </c>
      <c r="L42" s="2">
        <v>3</v>
      </c>
      <c r="M42" s="2">
        <v>3</v>
      </c>
      <c r="N42" s="2">
        <v>4</v>
      </c>
      <c r="O42" s="2">
        <v>5</v>
      </c>
      <c r="P42" s="2">
        <v>4</v>
      </c>
      <c r="Q42" s="2">
        <v>5</v>
      </c>
      <c r="R42" s="2">
        <v>5</v>
      </c>
      <c r="S42" s="2">
        <v>5</v>
      </c>
    </row>
    <row r="43" spans="1:19" ht="15" customHeight="1" x14ac:dyDescent="0.45">
      <c r="A43" s="4">
        <v>42</v>
      </c>
      <c r="B43" s="5" t="s">
        <v>19</v>
      </c>
      <c r="C43" s="5" t="s">
        <v>24</v>
      </c>
      <c r="D43" s="5" t="s">
        <v>21</v>
      </c>
      <c r="E43" s="5" t="s">
        <v>21</v>
      </c>
      <c r="F43" s="5" t="s">
        <v>28</v>
      </c>
      <c r="G43" s="5" t="s">
        <v>32</v>
      </c>
      <c r="H43" s="4">
        <v>4</v>
      </c>
      <c r="I43" s="4">
        <v>4</v>
      </c>
      <c r="J43" s="4">
        <v>4</v>
      </c>
      <c r="K43" s="4">
        <v>3</v>
      </c>
      <c r="L43" s="4">
        <v>3</v>
      </c>
      <c r="M43" s="4">
        <v>4</v>
      </c>
      <c r="N43" s="4">
        <v>5</v>
      </c>
      <c r="O43" s="4">
        <v>5</v>
      </c>
      <c r="P43" s="4">
        <v>5</v>
      </c>
      <c r="Q43" s="4">
        <v>5</v>
      </c>
      <c r="R43" s="4">
        <v>5</v>
      </c>
      <c r="S43" s="4">
        <v>3</v>
      </c>
    </row>
    <row r="44" spans="1:19" ht="15" customHeight="1" x14ac:dyDescent="0.45">
      <c r="A44" s="2">
        <v>43</v>
      </c>
      <c r="B44" s="3" t="s">
        <v>19</v>
      </c>
      <c r="C44" s="3" t="s">
        <v>20</v>
      </c>
      <c r="D44" s="3" t="s">
        <v>21</v>
      </c>
      <c r="E44" s="3" t="s">
        <v>21</v>
      </c>
      <c r="F44" s="3" t="s">
        <v>22</v>
      </c>
      <c r="G44" s="3" t="s">
        <v>31</v>
      </c>
      <c r="H44" s="2">
        <v>4</v>
      </c>
      <c r="I44" s="2">
        <v>4</v>
      </c>
      <c r="J44" s="2">
        <v>4</v>
      </c>
      <c r="K44" s="2">
        <v>2</v>
      </c>
      <c r="L44" s="2">
        <v>2</v>
      </c>
      <c r="M44" s="2">
        <v>4</v>
      </c>
      <c r="N44" s="2">
        <v>4</v>
      </c>
      <c r="O44" s="2">
        <v>4</v>
      </c>
      <c r="P44" s="2">
        <v>3</v>
      </c>
      <c r="Q44" s="2">
        <v>4</v>
      </c>
      <c r="R44" s="2">
        <v>4</v>
      </c>
      <c r="S44" s="2">
        <v>3</v>
      </c>
    </row>
    <row r="45" spans="1:19" ht="15" customHeight="1" x14ac:dyDescent="0.45">
      <c r="A45" s="4">
        <v>44</v>
      </c>
      <c r="B45" s="5" t="s">
        <v>19</v>
      </c>
      <c r="C45" s="5" t="s">
        <v>24</v>
      </c>
      <c r="D45" s="5" t="s">
        <v>21</v>
      </c>
      <c r="E45" s="5" t="s">
        <v>21</v>
      </c>
      <c r="F45" s="5" t="s">
        <v>28</v>
      </c>
      <c r="G45" s="5" t="s">
        <v>34</v>
      </c>
      <c r="H45" s="4">
        <v>5</v>
      </c>
      <c r="I45" s="4">
        <v>5</v>
      </c>
      <c r="J45" s="4">
        <v>4</v>
      </c>
      <c r="K45" s="4">
        <v>5</v>
      </c>
      <c r="L45" s="4">
        <v>5</v>
      </c>
      <c r="M45" s="4">
        <v>5</v>
      </c>
      <c r="N45" s="4">
        <v>5</v>
      </c>
      <c r="O45" s="4">
        <v>5</v>
      </c>
      <c r="P45" s="4">
        <v>5</v>
      </c>
      <c r="Q45" s="4">
        <v>5</v>
      </c>
      <c r="R45" s="4">
        <v>5</v>
      </c>
      <c r="S45" s="4">
        <v>5</v>
      </c>
    </row>
    <row r="46" spans="1:19" ht="15" customHeight="1" x14ac:dyDescent="0.45">
      <c r="A46" s="2">
        <v>45</v>
      </c>
      <c r="B46" s="3" t="s">
        <v>19</v>
      </c>
      <c r="C46" s="3" t="s">
        <v>24</v>
      </c>
      <c r="D46" s="3" t="s">
        <v>27</v>
      </c>
      <c r="E46" s="3" t="s">
        <v>21</v>
      </c>
      <c r="F46" s="3" t="s">
        <v>28</v>
      </c>
      <c r="G46" s="3" t="s">
        <v>31</v>
      </c>
      <c r="H46" s="2">
        <v>4</v>
      </c>
      <c r="I46" s="2">
        <v>4</v>
      </c>
      <c r="J46" s="2">
        <v>5</v>
      </c>
      <c r="K46" s="2">
        <v>5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  <c r="Q46" s="2">
        <v>5</v>
      </c>
      <c r="R46" s="2">
        <v>5</v>
      </c>
      <c r="S46" s="2">
        <v>4</v>
      </c>
    </row>
    <row r="47" spans="1:19" ht="15" customHeight="1" x14ac:dyDescent="0.45">
      <c r="A47" s="4">
        <v>46</v>
      </c>
      <c r="B47" s="5" t="s">
        <v>19</v>
      </c>
      <c r="C47" s="5" t="s">
        <v>20</v>
      </c>
      <c r="D47" s="5" t="s">
        <v>27</v>
      </c>
      <c r="E47" s="5" t="s">
        <v>21</v>
      </c>
      <c r="F47" s="5" t="s">
        <v>28</v>
      </c>
      <c r="G47" s="5" t="s">
        <v>23</v>
      </c>
      <c r="H47" s="4">
        <v>5</v>
      </c>
      <c r="I47" s="4">
        <v>5</v>
      </c>
      <c r="J47" s="4">
        <v>5</v>
      </c>
      <c r="K47" s="4">
        <v>4</v>
      </c>
      <c r="L47" s="4">
        <v>4</v>
      </c>
      <c r="M47" s="4">
        <v>4</v>
      </c>
      <c r="N47" s="4">
        <v>5</v>
      </c>
      <c r="O47" s="4">
        <v>5</v>
      </c>
      <c r="P47" s="4">
        <v>5</v>
      </c>
      <c r="Q47" s="4">
        <v>5</v>
      </c>
      <c r="R47" s="4">
        <v>5</v>
      </c>
      <c r="S47" s="4">
        <v>5</v>
      </c>
    </row>
    <row r="48" spans="1:19" ht="15" customHeight="1" x14ac:dyDescent="0.45">
      <c r="A48" s="2">
        <v>47</v>
      </c>
      <c r="B48" s="3" t="s">
        <v>19</v>
      </c>
      <c r="C48" s="3" t="s">
        <v>24</v>
      </c>
      <c r="D48" s="3" t="s">
        <v>21</v>
      </c>
      <c r="E48" s="3" t="s">
        <v>21</v>
      </c>
      <c r="F48" s="3" t="s">
        <v>22</v>
      </c>
      <c r="G48" s="3" t="s">
        <v>32</v>
      </c>
      <c r="H48" s="2">
        <v>4</v>
      </c>
      <c r="I48" s="2">
        <v>4</v>
      </c>
      <c r="J48" s="2">
        <v>5</v>
      </c>
      <c r="K48" s="2">
        <v>5</v>
      </c>
      <c r="L48" s="2">
        <v>4</v>
      </c>
      <c r="M48" s="2">
        <v>4</v>
      </c>
      <c r="N48" s="2">
        <v>5</v>
      </c>
      <c r="O48" s="2">
        <v>4</v>
      </c>
      <c r="P48" s="2">
        <v>5</v>
      </c>
      <c r="Q48" s="2">
        <v>5</v>
      </c>
      <c r="R48" s="2">
        <v>5</v>
      </c>
      <c r="S48" s="2">
        <v>5</v>
      </c>
    </row>
    <row r="49" spans="1:19" ht="15" customHeight="1" x14ac:dyDescent="0.45">
      <c r="A49" s="4">
        <v>48</v>
      </c>
      <c r="B49" s="5" t="s">
        <v>26</v>
      </c>
      <c r="C49" s="5" t="s">
        <v>24</v>
      </c>
      <c r="D49" s="5" t="s">
        <v>27</v>
      </c>
      <c r="E49" s="5" t="s">
        <v>21</v>
      </c>
      <c r="F49" s="5" t="s">
        <v>28</v>
      </c>
      <c r="G49" s="5" t="s">
        <v>29</v>
      </c>
      <c r="H49" s="4">
        <v>5</v>
      </c>
      <c r="I49" s="4">
        <v>5</v>
      </c>
      <c r="J49" s="4">
        <v>5</v>
      </c>
      <c r="K49" s="4">
        <v>4</v>
      </c>
      <c r="L49" s="4">
        <v>5</v>
      </c>
      <c r="M49" s="4">
        <v>5</v>
      </c>
      <c r="N49" s="4">
        <v>5</v>
      </c>
      <c r="O49" s="4">
        <v>5</v>
      </c>
      <c r="P49" s="4">
        <v>5</v>
      </c>
      <c r="Q49" s="4">
        <v>5</v>
      </c>
      <c r="R49" s="4">
        <v>5</v>
      </c>
      <c r="S49" s="4">
        <v>5</v>
      </c>
    </row>
    <row r="50" spans="1:19" ht="15" customHeight="1" x14ac:dyDescent="0.45">
      <c r="A50" s="2">
        <v>49</v>
      </c>
      <c r="B50" s="3" t="s">
        <v>19</v>
      </c>
      <c r="C50" s="3" t="s">
        <v>20</v>
      </c>
      <c r="D50" s="3" t="s">
        <v>21</v>
      </c>
      <c r="E50" s="3" t="s">
        <v>21</v>
      </c>
      <c r="F50" s="3" t="s">
        <v>28</v>
      </c>
      <c r="G50" s="3" t="s">
        <v>39</v>
      </c>
      <c r="H50" s="2">
        <v>5</v>
      </c>
      <c r="I50" s="2">
        <v>5</v>
      </c>
      <c r="J50" s="2">
        <v>5</v>
      </c>
      <c r="K50" s="2">
        <v>5</v>
      </c>
      <c r="L50" s="2">
        <v>4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</row>
    <row r="51" spans="1:19" ht="15" customHeight="1" x14ac:dyDescent="0.45">
      <c r="A51" s="4">
        <v>50</v>
      </c>
      <c r="B51" s="5" t="s">
        <v>26</v>
      </c>
      <c r="C51" s="5" t="s">
        <v>20</v>
      </c>
      <c r="D51" s="5" t="s">
        <v>27</v>
      </c>
      <c r="E51" s="5" t="s">
        <v>21</v>
      </c>
      <c r="F51" s="5" t="s">
        <v>28</v>
      </c>
      <c r="G51" s="5" t="s">
        <v>42</v>
      </c>
      <c r="H51" s="4">
        <v>5</v>
      </c>
      <c r="I51" s="4">
        <v>5</v>
      </c>
      <c r="J51" s="4">
        <v>4</v>
      </c>
      <c r="K51" s="4">
        <v>3</v>
      </c>
      <c r="L51" s="4">
        <v>3</v>
      </c>
      <c r="M51" s="4">
        <v>4</v>
      </c>
      <c r="N51" s="4">
        <v>4</v>
      </c>
      <c r="O51" s="4">
        <v>4</v>
      </c>
      <c r="P51" s="4">
        <v>5</v>
      </c>
      <c r="Q51" s="4">
        <v>4</v>
      </c>
      <c r="R51" s="4">
        <v>5</v>
      </c>
      <c r="S51" s="4">
        <v>5</v>
      </c>
    </row>
    <row r="52" spans="1:19" ht="15" customHeight="1" x14ac:dyDescent="0.45">
      <c r="A52" s="2">
        <v>51</v>
      </c>
      <c r="B52" s="3" t="s">
        <v>19</v>
      </c>
      <c r="C52" s="3" t="s">
        <v>24</v>
      </c>
      <c r="D52" s="3" t="s">
        <v>21</v>
      </c>
      <c r="E52" s="3" t="s">
        <v>21</v>
      </c>
      <c r="F52" s="3" t="s">
        <v>28</v>
      </c>
      <c r="G52" s="3" t="s">
        <v>40</v>
      </c>
      <c r="H52" s="2">
        <v>4</v>
      </c>
      <c r="I52" s="2">
        <v>4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5</v>
      </c>
      <c r="R52" s="2">
        <v>5</v>
      </c>
      <c r="S52" s="2">
        <v>5</v>
      </c>
    </row>
    <row r="53" spans="1:19" ht="15" customHeight="1" x14ac:dyDescent="0.45">
      <c r="A53" s="4">
        <v>52</v>
      </c>
      <c r="B53" s="5" t="s">
        <v>19</v>
      </c>
      <c r="C53" s="5" t="s">
        <v>24</v>
      </c>
      <c r="D53" s="5" t="s">
        <v>27</v>
      </c>
      <c r="E53" s="5" t="s">
        <v>21</v>
      </c>
      <c r="F53" s="5" t="s">
        <v>28</v>
      </c>
      <c r="G53" s="5" t="s">
        <v>25</v>
      </c>
      <c r="H53" s="4">
        <v>5</v>
      </c>
      <c r="I53" s="4">
        <v>5</v>
      </c>
      <c r="J53" s="4">
        <v>5</v>
      </c>
      <c r="K53" s="4">
        <v>4</v>
      </c>
      <c r="L53" s="4">
        <v>5</v>
      </c>
      <c r="M53" s="4">
        <v>5</v>
      </c>
      <c r="N53" s="4">
        <v>5</v>
      </c>
      <c r="O53" s="4">
        <v>5</v>
      </c>
      <c r="P53" s="4">
        <v>5</v>
      </c>
      <c r="Q53" s="4">
        <v>4</v>
      </c>
      <c r="R53" s="4">
        <v>4</v>
      </c>
      <c r="S53" s="4">
        <v>5</v>
      </c>
    </row>
    <row r="54" spans="1:19" ht="15" customHeight="1" x14ac:dyDescent="0.45">
      <c r="A54" s="2">
        <v>53</v>
      </c>
      <c r="B54" s="3" t="s">
        <v>19</v>
      </c>
      <c r="C54" s="3" t="s">
        <v>20</v>
      </c>
      <c r="D54" s="3" t="s">
        <v>21</v>
      </c>
      <c r="E54" s="3" t="s">
        <v>21</v>
      </c>
      <c r="F54" s="3" t="s">
        <v>28</v>
      </c>
      <c r="G54" s="3" t="s">
        <v>31</v>
      </c>
      <c r="H54" s="2">
        <v>5</v>
      </c>
      <c r="I54" s="2">
        <v>4</v>
      </c>
      <c r="J54" s="2">
        <v>5</v>
      </c>
      <c r="K54" s="2">
        <v>5</v>
      </c>
      <c r="L54" s="2">
        <v>4</v>
      </c>
      <c r="M54" s="2">
        <v>4</v>
      </c>
      <c r="N54" s="2">
        <v>5</v>
      </c>
      <c r="O54" s="2">
        <v>5</v>
      </c>
      <c r="P54" s="2">
        <v>5</v>
      </c>
      <c r="Q54" s="2">
        <v>5</v>
      </c>
      <c r="R54" s="2">
        <v>5</v>
      </c>
      <c r="S54" s="2">
        <v>5</v>
      </c>
    </row>
    <row r="55" spans="1:19" ht="15" customHeight="1" x14ac:dyDescent="0.45">
      <c r="A55" s="4">
        <v>54</v>
      </c>
      <c r="B55" s="5" t="s">
        <v>19</v>
      </c>
      <c r="C55" s="5" t="s">
        <v>20</v>
      </c>
      <c r="D55" s="5" t="s">
        <v>27</v>
      </c>
      <c r="E55" s="5" t="s">
        <v>21</v>
      </c>
      <c r="F55" s="5" t="s">
        <v>28</v>
      </c>
      <c r="G55" s="5" t="s">
        <v>25</v>
      </c>
      <c r="H55" s="4">
        <v>4</v>
      </c>
      <c r="I55" s="4">
        <v>4</v>
      </c>
      <c r="J55" s="4">
        <v>3</v>
      </c>
      <c r="K55" s="4">
        <v>3</v>
      </c>
      <c r="L55" s="4">
        <v>3</v>
      </c>
      <c r="M55" s="4">
        <v>4</v>
      </c>
      <c r="N55" s="4">
        <v>2</v>
      </c>
      <c r="O55" s="4">
        <v>2</v>
      </c>
      <c r="P55" s="4">
        <v>3</v>
      </c>
      <c r="Q55" s="4">
        <v>3</v>
      </c>
      <c r="R55" s="4">
        <v>1</v>
      </c>
      <c r="S55" s="4">
        <v>1</v>
      </c>
    </row>
    <row r="56" spans="1:19" ht="15" customHeight="1" x14ac:dyDescent="0.45">
      <c r="A56" s="2">
        <v>55</v>
      </c>
      <c r="B56" s="3" t="s">
        <v>19</v>
      </c>
      <c r="C56" s="3" t="s">
        <v>24</v>
      </c>
      <c r="D56" s="3" t="s">
        <v>27</v>
      </c>
      <c r="E56" s="3" t="s">
        <v>21</v>
      </c>
      <c r="F56" s="3" t="s">
        <v>28</v>
      </c>
      <c r="G56" s="3" t="s">
        <v>23</v>
      </c>
      <c r="H56" s="2">
        <v>5</v>
      </c>
      <c r="I56" s="2">
        <v>4</v>
      </c>
      <c r="J56" s="2">
        <v>4</v>
      </c>
      <c r="K56" s="2">
        <v>4</v>
      </c>
      <c r="L56" s="2">
        <v>4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  <c r="R56" s="2">
        <v>4</v>
      </c>
      <c r="S56" s="2">
        <v>5</v>
      </c>
    </row>
    <row r="57" spans="1:19" ht="15" customHeight="1" x14ac:dyDescent="0.45">
      <c r="A57" s="4">
        <v>56</v>
      </c>
      <c r="B57" s="5" t="s">
        <v>19</v>
      </c>
      <c r="C57" s="5" t="s">
        <v>24</v>
      </c>
      <c r="D57" s="5" t="s">
        <v>21</v>
      </c>
      <c r="E57" s="5" t="s">
        <v>21</v>
      </c>
      <c r="F57" s="5" t="s">
        <v>22</v>
      </c>
      <c r="G57" s="5" t="s">
        <v>31</v>
      </c>
      <c r="H57" s="4">
        <v>5</v>
      </c>
      <c r="I57" s="4">
        <v>5</v>
      </c>
      <c r="J57" s="4">
        <v>5</v>
      </c>
      <c r="K57" s="4">
        <v>5</v>
      </c>
      <c r="L57" s="4">
        <v>4</v>
      </c>
      <c r="M57" s="4">
        <v>4</v>
      </c>
      <c r="N57" s="4">
        <v>4</v>
      </c>
      <c r="O57" s="4">
        <v>5</v>
      </c>
      <c r="P57" s="4">
        <v>4</v>
      </c>
      <c r="Q57" s="4">
        <v>4</v>
      </c>
      <c r="R57" s="4">
        <v>4</v>
      </c>
      <c r="S57" s="4">
        <v>4</v>
      </c>
    </row>
    <row r="58" spans="1:19" ht="15" customHeight="1" x14ac:dyDescent="0.45">
      <c r="A58" s="2">
        <v>57</v>
      </c>
      <c r="B58" s="3" t="s">
        <v>19</v>
      </c>
      <c r="C58" s="3" t="s">
        <v>24</v>
      </c>
      <c r="D58" s="3" t="s">
        <v>21</v>
      </c>
      <c r="E58" s="3" t="s">
        <v>21</v>
      </c>
      <c r="F58" s="3" t="s">
        <v>28</v>
      </c>
      <c r="G58" s="3" t="s">
        <v>25</v>
      </c>
      <c r="H58" s="2">
        <v>4</v>
      </c>
      <c r="I58" s="2">
        <v>4</v>
      </c>
      <c r="J58" s="2">
        <v>5</v>
      </c>
      <c r="K58" s="2">
        <v>5</v>
      </c>
      <c r="L58" s="2">
        <v>5</v>
      </c>
      <c r="M58" s="2">
        <v>5</v>
      </c>
      <c r="N58" s="2">
        <v>4</v>
      </c>
      <c r="O58" s="2">
        <v>4</v>
      </c>
      <c r="P58" s="2">
        <v>4</v>
      </c>
      <c r="Q58" s="2">
        <v>4</v>
      </c>
      <c r="R58" s="2">
        <v>5</v>
      </c>
      <c r="S58" s="2">
        <v>5</v>
      </c>
    </row>
    <row r="59" spans="1:19" ht="15" customHeight="1" x14ac:dyDescent="0.45">
      <c r="A59" s="4">
        <v>58</v>
      </c>
      <c r="B59" s="5" t="s">
        <v>26</v>
      </c>
      <c r="C59" s="5" t="s">
        <v>24</v>
      </c>
      <c r="D59" s="5" t="s">
        <v>27</v>
      </c>
      <c r="E59" s="5" t="s">
        <v>21</v>
      </c>
      <c r="F59" s="5" t="s">
        <v>28</v>
      </c>
      <c r="G59" s="5" t="s">
        <v>32</v>
      </c>
      <c r="H59" s="4">
        <v>4</v>
      </c>
      <c r="I59" s="4">
        <v>4</v>
      </c>
      <c r="J59" s="4">
        <v>3</v>
      </c>
      <c r="K59" s="4">
        <v>3</v>
      </c>
      <c r="L59" s="4">
        <v>3</v>
      </c>
      <c r="M59" s="4">
        <v>3</v>
      </c>
      <c r="N59" s="4">
        <v>2</v>
      </c>
      <c r="O59" s="4">
        <v>3</v>
      </c>
      <c r="P59" s="4">
        <v>4</v>
      </c>
      <c r="Q59" s="4">
        <v>3</v>
      </c>
      <c r="R59" s="4">
        <v>4</v>
      </c>
      <c r="S59" s="4">
        <v>3</v>
      </c>
    </row>
    <row r="60" spans="1:19" ht="15" customHeight="1" x14ac:dyDescent="0.45">
      <c r="A60" s="2">
        <v>59</v>
      </c>
      <c r="B60" s="3" t="s">
        <v>19</v>
      </c>
      <c r="C60" s="3" t="s">
        <v>20</v>
      </c>
      <c r="D60" s="3" t="s">
        <v>27</v>
      </c>
      <c r="E60" s="3" t="s">
        <v>21</v>
      </c>
      <c r="F60" s="3" t="s">
        <v>28</v>
      </c>
      <c r="G60" s="3" t="s">
        <v>38</v>
      </c>
      <c r="H60" s="2">
        <v>4</v>
      </c>
      <c r="I60" s="2">
        <v>5</v>
      </c>
      <c r="J60" s="2">
        <v>5</v>
      </c>
      <c r="K60" s="2">
        <v>2</v>
      </c>
      <c r="L60" s="2">
        <v>4</v>
      </c>
      <c r="M60" s="2">
        <v>4</v>
      </c>
      <c r="N60" s="2">
        <v>3</v>
      </c>
      <c r="O60" s="2">
        <v>4</v>
      </c>
      <c r="P60" s="2">
        <v>3</v>
      </c>
      <c r="Q60" s="2">
        <v>4</v>
      </c>
      <c r="R60" s="2">
        <v>4</v>
      </c>
      <c r="S60" s="2">
        <v>4</v>
      </c>
    </row>
    <row r="61" spans="1:19" ht="15" customHeight="1" x14ac:dyDescent="0.45">
      <c r="A61" s="4">
        <v>60</v>
      </c>
      <c r="B61" s="5" t="s">
        <v>19</v>
      </c>
      <c r="C61" s="5" t="s">
        <v>24</v>
      </c>
      <c r="D61" s="5" t="s">
        <v>21</v>
      </c>
      <c r="E61" s="5" t="s">
        <v>21</v>
      </c>
      <c r="F61" s="5" t="s">
        <v>28</v>
      </c>
      <c r="G61" s="5" t="s">
        <v>39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5</v>
      </c>
      <c r="N61" s="4">
        <v>5</v>
      </c>
      <c r="O61" s="4">
        <v>5</v>
      </c>
      <c r="P61" s="4">
        <v>5</v>
      </c>
      <c r="Q61" s="4">
        <v>5</v>
      </c>
      <c r="R61" s="4">
        <v>5</v>
      </c>
      <c r="S61" s="4">
        <v>5</v>
      </c>
    </row>
    <row r="62" spans="1:19" ht="15" customHeight="1" x14ac:dyDescent="0.45">
      <c r="A62" s="2">
        <v>61</v>
      </c>
      <c r="B62" s="3" t="s">
        <v>19</v>
      </c>
      <c r="C62" s="3" t="s">
        <v>20</v>
      </c>
      <c r="D62" s="3" t="s">
        <v>27</v>
      </c>
      <c r="E62" s="3" t="s">
        <v>21</v>
      </c>
      <c r="F62" s="3" t="s">
        <v>28</v>
      </c>
      <c r="G62" s="3" t="s">
        <v>25</v>
      </c>
      <c r="H62" s="2">
        <v>5</v>
      </c>
      <c r="I62" s="2">
        <v>5</v>
      </c>
      <c r="J62" s="2">
        <v>4</v>
      </c>
      <c r="K62" s="2">
        <v>4</v>
      </c>
      <c r="L62" s="2">
        <v>4</v>
      </c>
      <c r="M62" s="2">
        <v>4</v>
      </c>
      <c r="N62" s="2">
        <v>3</v>
      </c>
      <c r="O62" s="2">
        <v>3</v>
      </c>
      <c r="P62" s="2">
        <v>4</v>
      </c>
      <c r="Q62" s="2">
        <v>4</v>
      </c>
      <c r="R62" s="2">
        <v>5</v>
      </c>
      <c r="S62" s="2">
        <v>4</v>
      </c>
    </row>
    <row r="63" spans="1:19" ht="15" customHeight="1" x14ac:dyDescent="0.45">
      <c r="A63" s="4">
        <v>62</v>
      </c>
      <c r="B63" s="5" t="s">
        <v>35</v>
      </c>
      <c r="C63" s="5" t="s">
        <v>20</v>
      </c>
      <c r="D63" s="5" t="s">
        <v>27</v>
      </c>
      <c r="E63" s="5" t="s">
        <v>21</v>
      </c>
      <c r="F63" s="5" t="s">
        <v>28</v>
      </c>
      <c r="G63" s="5" t="s">
        <v>32</v>
      </c>
      <c r="H63" s="4">
        <v>5</v>
      </c>
      <c r="I63" s="4">
        <v>4</v>
      </c>
      <c r="J63" s="4">
        <v>4</v>
      </c>
      <c r="K63" s="4">
        <v>4</v>
      </c>
      <c r="L63" s="4">
        <v>5</v>
      </c>
      <c r="M63" s="4">
        <v>4</v>
      </c>
      <c r="N63" s="4">
        <v>5</v>
      </c>
      <c r="O63" s="4">
        <v>5</v>
      </c>
      <c r="P63" s="4">
        <v>5</v>
      </c>
      <c r="Q63" s="4">
        <v>5</v>
      </c>
      <c r="R63" s="4">
        <v>4</v>
      </c>
      <c r="S63" s="4">
        <v>4</v>
      </c>
    </row>
    <row r="64" spans="1:19" ht="15" customHeight="1" x14ac:dyDescent="0.45">
      <c r="A64" s="2">
        <v>63</v>
      </c>
      <c r="B64" s="3" t="s">
        <v>19</v>
      </c>
      <c r="C64" s="3" t="s">
        <v>24</v>
      </c>
      <c r="D64" s="3" t="s">
        <v>27</v>
      </c>
      <c r="E64" s="3" t="s">
        <v>21</v>
      </c>
      <c r="F64" s="3" t="s">
        <v>28</v>
      </c>
      <c r="G64" s="3" t="s">
        <v>23</v>
      </c>
      <c r="H64" s="2">
        <v>5</v>
      </c>
      <c r="I64" s="2">
        <v>5</v>
      </c>
      <c r="J64" s="2">
        <v>5</v>
      </c>
      <c r="K64" s="2">
        <v>5</v>
      </c>
      <c r="L64" s="2">
        <v>4</v>
      </c>
      <c r="M64" s="2">
        <v>4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</row>
    <row r="65" spans="1:19" ht="15" customHeight="1" x14ac:dyDescent="0.45">
      <c r="A65" s="4">
        <v>64</v>
      </c>
      <c r="B65" s="5" t="s">
        <v>26</v>
      </c>
      <c r="C65" s="5" t="s">
        <v>24</v>
      </c>
      <c r="D65" s="5" t="s">
        <v>27</v>
      </c>
      <c r="E65" s="5" t="s">
        <v>21</v>
      </c>
      <c r="F65" s="5" t="s">
        <v>28</v>
      </c>
      <c r="G65" s="5" t="s">
        <v>40</v>
      </c>
      <c r="H65" s="4">
        <v>4</v>
      </c>
      <c r="I65" s="4">
        <v>4</v>
      </c>
      <c r="J65" s="4">
        <v>4</v>
      </c>
      <c r="K65" s="4">
        <v>5</v>
      </c>
      <c r="L65" s="4">
        <v>5</v>
      </c>
      <c r="M65" s="4">
        <v>4</v>
      </c>
      <c r="N65" s="4">
        <v>3</v>
      </c>
      <c r="O65" s="4">
        <v>3</v>
      </c>
      <c r="P65" s="4">
        <v>4</v>
      </c>
      <c r="Q65" s="4">
        <v>4</v>
      </c>
      <c r="R65" s="4">
        <v>4</v>
      </c>
      <c r="S65" s="4">
        <v>3</v>
      </c>
    </row>
    <row r="66" spans="1:19" ht="15" customHeight="1" x14ac:dyDescent="0.45">
      <c r="A66" s="2">
        <v>65</v>
      </c>
      <c r="B66" s="3" t="s">
        <v>19</v>
      </c>
      <c r="C66" s="3" t="s">
        <v>20</v>
      </c>
      <c r="D66" s="3" t="s">
        <v>27</v>
      </c>
      <c r="E66" s="3" t="s">
        <v>21</v>
      </c>
      <c r="F66" s="3" t="s">
        <v>28</v>
      </c>
      <c r="G66" s="3" t="s">
        <v>36</v>
      </c>
      <c r="H66" s="2">
        <v>4</v>
      </c>
      <c r="I66" s="2">
        <v>4</v>
      </c>
      <c r="J66" s="2">
        <v>4</v>
      </c>
      <c r="K66" s="2">
        <v>5</v>
      </c>
      <c r="L66" s="2">
        <v>5</v>
      </c>
      <c r="M66" s="2">
        <v>5</v>
      </c>
      <c r="N66" s="2">
        <v>4</v>
      </c>
      <c r="O66" s="2">
        <v>4</v>
      </c>
      <c r="P66" s="2">
        <v>4</v>
      </c>
      <c r="Q66" s="2">
        <v>5</v>
      </c>
      <c r="R66" s="2">
        <v>4</v>
      </c>
      <c r="S66" s="2">
        <v>5</v>
      </c>
    </row>
    <row r="67" spans="1:19" ht="15" customHeight="1" x14ac:dyDescent="0.45">
      <c r="A67" s="4">
        <v>66</v>
      </c>
      <c r="B67" s="5" t="s">
        <v>19</v>
      </c>
      <c r="C67" s="5" t="s">
        <v>20</v>
      </c>
      <c r="D67" s="5" t="s">
        <v>21</v>
      </c>
      <c r="E67" s="5" t="s">
        <v>21</v>
      </c>
      <c r="F67" s="5" t="s">
        <v>22</v>
      </c>
      <c r="G67" s="5" t="s">
        <v>29</v>
      </c>
      <c r="H67" s="4">
        <v>4</v>
      </c>
      <c r="I67" s="4">
        <v>5</v>
      </c>
      <c r="J67" s="4">
        <v>4</v>
      </c>
      <c r="K67" s="4">
        <v>4</v>
      </c>
      <c r="L67" s="4">
        <v>4</v>
      </c>
      <c r="M67" s="4">
        <v>4</v>
      </c>
      <c r="N67" s="4">
        <v>5</v>
      </c>
      <c r="O67" s="4">
        <v>5</v>
      </c>
      <c r="P67" s="4">
        <v>5</v>
      </c>
      <c r="Q67" s="4">
        <v>5</v>
      </c>
      <c r="R67" s="4">
        <v>4</v>
      </c>
      <c r="S67" s="4">
        <v>5</v>
      </c>
    </row>
    <row r="68" spans="1:19" ht="15" customHeight="1" x14ac:dyDescent="0.45">
      <c r="A68" s="2">
        <v>67</v>
      </c>
      <c r="B68" s="3" t="s">
        <v>19</v>
      </c>
      <c r="C68" s="3" t="s">
        <v>20</v>
      </c>
      <c r="D68" s="3" t="s">
        <v>21</v>
      </c>
      <c r="E68" s="3" t="s">
        <v>21</v>
      </c>
      <c r="F68" s="3" t="s">
        <v>28</v>
      </c>
      <c r="G68" s="3" t="s">
        <v>32</v>
      </c>
      <c r="H68" s="2">
        <v>5</v>
      </c>
      <c r="I68" s="2">
        <v>5</v>
      </c>
      <c r="J68" s="2">
        <v>5</v>
      </c>
      <c r="K68" s="2">
        <v>5</v>
      </c>
      <c r="L68" s="2">
        <v>4</v>
      </c>
      <c r="M68" s="2">
        <v>4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</row>
    <row r="69" spans="1:19" ht="15" customHeight="1" x14ac:dyDescent="0.45">
      <c r="A69" s="4">
        <v>68</v>
      </c>
      <c r="B69" s="5" t="s">
        <v>26</v>
      </c>
      <c r="C69" s="5" t="s">
        <v>20</v>
      </c>
      <c r="D69" s="5" t="s">
        <v>27</v>
      </c>
      <c r="E69" s="5" t="s">
        <v>21</v>
      </c>
      <c r="F69" s="5" t="s">
        <v>28</v>
      </c>
      <c r="G69" s="5" t="s">
        <v>34</v>
      </c>
      <c r="H69" s="4">
        <v>5</v>
      </c>
      <c r="I69" s="4">
        <v>5</v>
      </c>
      <c r="J69" s="4">
        <v>4</v>
      </c>
      <c r="K69" s="4">
        <v>4</v>
      </c>
      <c r="L69" s="4">
        <v>4</v>
      </c>
      <c r="M69" s="4">
        <v>4</v>
      </c>
      <c r="N69" s="4">
        <v>5</v>
      </c>
      <c r="O69" s="4">
        <v>5</v>
      </c>
      <c r="P69" s="4">
        <v>5</v>
      </c>
      <c r="Q69" s="4">
        <v>5</v>
      </c>
      <c r="R69" s="4">
        <v>5</v>
      </c>
      <c r="S69" s="4">
        <v>4</v>
      </c>
    </row>
    <row r="70" spans="1:19" ht="15" customHeight="1" x14ac:dyDescent="0.45">
      <c r="A70" s="2">
        <v>69</v>
      </c>
      <c r="B70" s="3" t="s">
        <v>19</v>
      </c>
      <c r="C70" s="3" t="s">
        <v>20</v>
      </c>
      <c r="D70" s="3" t="s">
        <v>21</v>
      </c>
      <c r="E70" s="3" t="s">
        <v>21</v>
      </c>
      <c r="F70" s="3" t="s">
        <v>22</v>
      </c>
      <c r="G70" s="3" t="s">
        <v>23</v>
      </c>
      <c r="H70" s="2">
        <v>5</v>
      </c>
      <c r="I70" s="2">
        <v>4</v>
      </c>
      <c r="J70" s="2">
        <v>5</v>
      </c>
      <c r="K70" s="2">
        <v>5</v>
      </c>
      <c r="L70" s="2">
        <v>4</v>
      </c>
      <c r="M70" s="2">
        <v>4</v>
      </c>
      <c r="N70" s="2">
        <v>5</v>
      </c>
      <c r="O70" s="2">
        <v>5</v>
      </c>
      <c r="P70" s="2">
        <v>5</v>
      </c>
      <c r="Q70" s="2">
        <v>4</v>
      </c>
      <c r="R70" s="2">
        <v>5</v>
      </c>
      <c r="S70" s="2">
        <v>4</v>
      </c>
    </row>
    <row r="71" spans="1:19" ht="15" customHeight="1" x14ac:dyDescent="0.45">
      <c r="A71" s="4">
        <v>70</v>
      </c>
      <c r="B71" s="5" t="s">
        <v>19</v>
      </c>
      <c r="C71" s="5" t="s">
        <v>20</v>
      </c>
      <c r="D71" s="5" t="s">
        <v>21</v>
      </c>
      <c r="E71" s="5" t="s">
        <v>21</v>
      </c>
      <c r="F71" s="5" t="s">
        <v>22</v>
      </c>
      <c r="G71" s="5" t="s">
        <v>23</v>
      </c>
      <c r="H71" s="4">
        <v>5</v>
      </c>
      <c r="I71" s="4">
        <v>5</v>
      </c>
      <c r="J71" s="4">
        <v>4</v>
      </c>
      <c r="K71" s="4">
        <v>2</v>
      </c>
      <c r="L71" s="4">
        <v>3</v>
      </c>
      <c r="M71" s="4">
        <v>5</v>
      </c>
      <c r="N71" s="4">
        <v>5</v>
      </c>
      <c r="O71" s="4">
        <v>5</v>
      </c>
      <c r="P71" s="4">
        <v>4</v>
      </c>
      <c r="Q71" s="4">
        <v>5</v>
      </c>
      <c r="R71" s="4">
        <v>4</v>
      </c>
      <c r="S71" s="4">
        <v>4</v>
      </c>
    </row>
    <row r="72" spans="1:19" ht="15" customHeight="1" x14ac:dyDescent="0.45">
      <c r="A72" s="2">
        <v>71</v>
      </c>
      <c r="B72" s="3" t="s">
        <v>19</v>
      </c>
      <c r="C72" s="3" t="s">
        <v>20</v>
      </c>
      <c r="D72" s="3" t="s">
        <v>27</v>
      </c>
      <c r="E72" s="3" t="s">
        <v>21</v>
      </c>
      <c r="F72" s="3" t="s">
        <v>43</v>
      </c>
      <c r="G72" s="3" t="s">
        <v>23</v>
      </c>
      <c r="H72" s="2">
        <v>4</v>
      </c>
      <c r="I72" s="2">
        <v>4</v>
      </c>
      <c r="J72" s="2">
        <v>3</v>
      </c>
      <c r="K72" s="2">
        <v>4</v>
      </c>
      <c r="L72" s="2">
        <v>4</v>
      </c>
      <c r="M72" s="2">
        <v>4</v>
      </c>
      <c r="N72" s="2">
        <v>5</v>
      </c>
      <c r="O72" s="2">
        <v>5</v>
      </c>
      <c r="P72" s="2">
        <v>5</v>
      </c>
      <c r="Q72" s="2">
        <v>4</v>
      </c>
      <c r="R72" s="2">
        <v>5</v>
      </c>
      <c r="S72" s="2">
        <v>5</v>
      </c>
    </row>
    <row r="73" spans="1:19" ht="15" customHeight="1" x14ac:dyDescent="0.45">
      <c r="A73" s="4">
        <v>72</v>
      </c>
      <c r="B73" s="5" t="s">
        <v>19</v>
      </c>
      <c r="C73" s="5" t="s">
        <v>24</v>
      </c>
      <c r="D73" s="5" t="s">
        <v>21</v>
      </c>
      <c r="E73" s="5" t="s">
        <v>21</v>
      </c>
      <c r="F73" s="5" t="s">
        <v>22</v>
      </c>
      <c r="G73" s="5" t="s">
        <v>23</v>
      </c>
      <c r="H73" s="4">
        <v>5</v>
      </c>
      <c r="I73" s="4">
        <v>5</v>
      </c>
      <c r="J73" s="4">
        <v>3</v>
      </c>
      <c r="K73" s="4">
        <v>4</v>
      </c>
      <c r="L73" s="4">
        <v>3</v>
      </c>
      <c r="M73" s="4">
        <v>5</v>
      </c>
      <c r="N73" s="4">
        <v>5</v>
      </c>
      <c r="O73" s="4">
        <v>4</v>
      </c>
      <c r="P73" s="4">
        <v>4</v>
      </c>
      <c r="Q73" s="4">
        <v>4</v>
      </c>
      <c r="R73" s="4">
        <v>4</v>
      </c>
      <c r="S73" s="4">
        <v>3</v>
      </c>
    </row>
    <row r="74" spans="1:19" ht="15" customHeight="1" x14ac:dyDescent="0.45">
      <c r="A74" s="2">
        <v>73</v>
      </c>
      <c r="B74" s="3" t="s">
        <v>19</v>
      </c>
      <c r="C74" s="3" t="s">
        <v>24</v>
      </c>
      <c r="D74" s="3" t="s">
        <v>21</v>
      </c>
      <c r="E74" s="3" t="s">
        <v>21</v>
      </c>
      <c r="F74" s="3" t="s">
        <v>28</v>
      </c>
      <c r="G74" s="3" t="s">
        <v>32</v>
      </c>
      <c r="H74" s="2">
        <v>4</v>
      </c>
      <c r="I74" s="2">
        <v>5</v>
      </c>
      <c r="J74" s="2">
        <v>4</v>
      </c>
      <c r="K74" s="2">
        <v>3</v>
      </c>
      <c r="L74" s="2">
        <v>4</v>
      </c>
      <c r="M74" s="2">
        <v>5</v>
      </c>
      <c r="N74" s="2">
        <v>3</v>
      </c>
      <c r="O74" s="2">
        <v>4</v>
      </c>
      <c r="P74" s="2">
        <v>4</v>
      </c>
      <c r="Q74" s="2">
        <v>5</v>
      </c>
      <c r="R74" s="2">
        <v>5</v>
      </c>
      <c r="S74" s="2">
        <v>5</v>
      </c>
    </row>
    <row r="75" spans="1:19" ht="15" customHeight="1" x14ac:dyDescent="0.45">
      <c r="A75" s="4">
        <v>74</v>
      </c>
      <c r="B75" s="5" t="s">
        <v>19</v>
      </c>
      <c r="C75" s="5" t="s">
        <v>20</v>
      </c>
      <c r="D75" s="5" t="s">
        <v>21</v>
      </c>
      <c r="E75" s="5" t="s">
        <v>21</v>
      </c>
      <c r="F75" s="5" t="s">
        <v>28</v>
      </c>
      <c r="G75" s="5" t="s">
        <v>23</v>
      </c>
      <c r="H75" s="4">
        <v>4</v>
      </c>
      <c r="I75" s="4">
        <v>5</v>
      </c>
      <c r="J75" s="4">
        <v>5</v>
      </c>
      <c r="K75" s="4">
        <v>3</v>
      </c>
      <c r="L75" s="4">
        <v>5</v>
      </c>
      <c r="M75" s="4">
        <v>5</v>
      </c>
      <c r="N75" s="4">
        <v>5</v>
      </c>
      <c r="O75" s="4">
        <v>5</v>
      </c>
      <c r="P75" s="4">
        <v>5</v>
      </c>
      <c r="Q75" s="4">
        <v>5</v>
      </c>
      <c r="R75" s="4">
        <v>4</v>
      </c>
      <c r="S75" s="4">
        <v>5</v>
      </c>
    </row>
    <row r="76" spans="1:19" ht="15" customHeight="1" x14ac:dyDescent="0.45">
      <c r="A76" s="2">
        <v>75</v>
      </c>
      <c r="B76" s="3" t="s">
        <v>35</v>
      </c>
      <c r="C76" s="3" t="s">
        <v>20</v>
      </c>
      <c r="D76" s="3" t="s">
        <v>27</v>
      </c>
      <c r="E76" s="3" t="s">
        <v>21</v>
      </c>
      <c r="F76" s="3" t="s">
        <v>28</v>
      </c>
      <c r="G76" s="3" t="s">
        <v>23</v>
      </c>
      <c r="H76" s="2">
        <v>5</v>
      </c>
      <c r="I76" s="2">
        <v>5</v>
      </c>
      <c r="J76" s="2">
        <v>4</v>
      </c>
      <c r="K76" s="2">
        <v>2</v>
      </c>
      <c r="L76" s="2">
        <v>5</v>
      </c>
      <c r="M76" s="2">
        <v>4</v>
      </c>
      <c r="N76" s="2">
        <v>4</v>
      </c>
      <c r="O76" s="2">
        <v>4</v>
      </c>
      <c r="P76" s="2">
        <v>5</v>
      </c>
      <c r="Q76" s="2">
        <v>4</v>
      </c>
      <c r="R76" s="2">
        <v>5</v>
      </c>
      <c r="S76" s="2">
        <v>5</v>
      </c>
    </row>
    <row r="77" spans="1:19" ht="15" customHeight="1" x14ac:dyDescent="0.45">
      <c r="A77" s="4">
        <v>76</v>
      </c>
      <c r="B77" s="5" t="s">
        <v>19</v>
      </c>
      <c r="C77" s="5" t="s">
        <v>20</v>
      </c>
      <c r="D77" s="5" t="s">
        <v>21</v>
      </c>
      <c r="E77" s="5" t="s">
        <v>21</v>
      </c>
      <c r="F77" s="5" t="s">
        <v>22</v>
      </c>
      <c r="G77" s="5" t="s">
        <v>42</v>
      </c>
      <c r="H77" s="4">
        <v>5</v>
      </c>
      <c r="I77" s="4">
        <v>4</v>
      </c>
      <c r="J77" s="4">
        <v>5</v>
      </c>
      <c r="K77" s="4">
        <v>4</v>
      </c>
      <c r="L77" s="4">
        <v>4</v>
      </c>
      <c r="M77" s="4">
        <v>5</v>
      </c>
      <c r="N77" s="4">
        <v>5</v>
      </c>
      <c r="O77" s="4">
        <v>5</v>
      </c>
      <c r="P77" s="4">
        <v>4</v>
      </c>
      <c r="Q77" s="4">
        <v>4</v>
      </c>
      <c r="R77" s="4">
        <v>5</v>
      </c>
      <c r="S77" s="4">
        <v>5</v>
      </c>
    </row>
    <row r="78" spans="1:19" ht="15" customHeight="1" x14ac:dyDescent="0.45">
      <c r="A78" s="2">
        <v>77</v>
      </c>
      <c r="B78" s="3" t="s">
        <v>19</v>
      </c>
      <c r="C78" s="3" t="s">
        <v>20</v>
      </c>
      <c r="D78" s="3" t="s">
        <v>21</v>
      </c>
      <c r="E78" s="3" t="s">
        <v>21</v>
      </c>
      <c r="F78" s="3" t="s">
        <v>28</v>
      </c>
      <c r="G78" s="3" t="s">
        <v>34</v>
      </c>
      <c r="H78" s="2">
        <v>5</v>
      </c>
      <c r="I78" s="2">
        <v>4</v>
      </c>
      <c r="J78" s="2">
        <v>5</v>
      </c>
      <c r="K78" s="2">
        <v>5</v>
      </c>
      <c r="L78" s="2">
        <v>5</v>
      </c>
      <c r="M78" s="2">
        <v>4</v>
      </c>
      <c r="N78" s="2">
        <v>4</v>
      </c>
      <c r="O78" s="2">
        <v>5</v>
      </c>
      <c r="P78" s="2">
        <v>4</v>
      </c>
      <c r="Q78" s="2">
        <v>5</v>
      </c>
      <c r="R78" s="2">
        <v>5</v>
      </c>
      <c r="S78" s="2">
        <v>5</v>
      </c>
    </row>
    <row r="79" spans="1:19" ht="15" customHeight="1" x14ac:dyDescent="0.45">
      <c r="A79" s="4">
        <v>78</v>
      </c>
      <c r="B79" s="5" t="s">
        <v>35</v>
      </c>
      <c r="C79" s="5" t="s">
        <v>20</v>
      </c>
      <c r="D79" s="5" t="s">
        <v>27</v>
      </c>
      <c r="E79" s="5" t="s">
        <v>21</v>
      </c>
      <c r="F79" s="5" t="s">
        <v>28</v>
      </c>
      <c r="G79" s="5" t="s">
        <v>25</v>
      </c>
      <c r="H79" s="4">
        <v>3</v>
      </c>
      <c r="I79" s="4">
        <v>3</v>
      </c>
      <c r="J79" s="4">
        <v>5</v>
      </c>
      <c r="K79" s="4">
        <v>4</v>
      </c>
      <c r="L79" s="4">
        <v>5</v>
      </c>
      <c r="M79" s="4">
        <v>4</v>
      </c>
      <c r="N79" s="4">
        <v>3</v>
      </c>
      <c r="O79" s="4">
        <v>4</v>
      </c>
      <c r="P79" s="4">
        <v>4</v>
      </c>
      <c r="Q79" s="4">
        <v>4</v>
      </c>
      <c r="R79" s="4">
        <v>5</v>
      </c>
      <c r="S79" s="4">
        <v>4</v>
      </c>
    </row>
    <row r="80" spans="1:19" ht="15" customHeight="1" x14ac:dyDescent="0.45">
      <c r="A80" s="2">
        <v>79</v>
      </c>
      <c r="B80" s="3" t="s">
        <v>19</v>
      </c>
      <c r="C80" s="3" t="s">
        <v>20</v>
      </c>
      <c r="D80" s="3" t="s">
        <v>21</v>
      </c>
      <c r="E80" s="3" t="s">
        <v>21</v>
      </c>
      <c r="F80" s="3" t="s">
        <v>43</v>
      </c>
      <c r="G80" s="3" t="s">
        <v>29</v>
      </c>
      <c r="H80" s="2">
        <v>5</v>
      </c>
      <c r="I80" s="2">
        <v>5</v>
      </c>
      <c r="J80" s="2">
        <v>5</v>
      </c>
      <c r="K80" s="2">
        <v>5</v>
      </c>
      <c r="L80" s="2">
        <v>4</v>
      </c>
      <c r="M80" s="2">
        <v>4</v>
      </c>
      <c r="N80" s="2">
        <v>4</v>
      </c>
      <c r="O80" s="2">
        <v>4</v>
      </c>
      <c r="P80" s="2">
        <v>5</v>
      </c>
      <c r="Q80" s="2">
        <v>5</v>
      </c>
      <c r="R80" s="2">
        <v>5</v>
      </c>
      <c r="S80" s="2">
        <v>5</v>
      </c>
    </row>
    <row r="81" spans="1:19" ht="15" customHeight="1" x14ac:dyDescent="0.45">
      <c r="A81" s="4">
        <v>80</v>
      </c>
      <c r="B81" s="5" t="s">
        <v>19</v>
      </c>
      <c r="C81" s="5" t="s">
        <v>24</v>
      </c>
      <c r="D81" s="5" t="s">
        <v>21</v>
      </c>
      <c r="E81" s="5" t="s">
        <v>21</v>
      </c>
      <c r="F81" s="5" t="s">
        <v>22</v>
      </c>
      <c r="G81" s="5" t="s">
        <v>23</v>
      </c>
      <c r="H81" s="4">
        <v>4</v>
      </c>
      <c r="I81" s="4">
        <v>5</v>
      </c>
      <c r="J81" s="4">
        <v>4</v>
      </c>
      <c r="K81" s="4">
        <v>5</v>
      </c>
      <c r="L81" s="4">
        <v>3</v>
      </c>
      <c r="M81" s="4">
        <v>5</v>
      </c>
      <c r="N81" s="4">
        <v>5</v>
      </c>
      <c r="O81" s="4">
        <v>5</v>
      </c>
      <c r="P81" s="4">
        <v>5</v>
      </c>
      <c r="Q81" s="4">
        <v>5</v>
      </c>
      <c r="R81" s="4">
        <v>5</v>
      </c>
      <c r="S81" s="4">
        <v>5</v>
      </c>
    </row>
    <row r="82" spans="1:19" ht="15" customHeight="1" x14ac:dyDescent="0.45">
      <c r="A82" s="2">
        <v>81</v>
      </c>
      <c r="B82" s="3" t="s">
        <v>19</v>
      </c>
      <c r="C82" s="3" t="s">
        <v>24</v>
      </c>
      <c r="D82" s="3" t="s">
        <v>21</v>
      </c>
      <c r="E82" s="3" t="s">
        <v>21</v>
      </c>
      <c r="F82" s="3" t="s">
        <v>43</v>
      </c>
      <c r="G82" s="3" t="s">
        <v>33</v>
      </c>
      <c r="H82" s="2">
        <v>4</v>
      </c>
      <c r="I82" s="2">
        <v>4</v>
      </c>
      <c r="J82" s="2">
        <v>4</v>
      </c>
      <c r="K82" s="2">
        <v>4</v>
      </c>
      <c r="L82" s="2">
        <v>5</v>
      </c>
      <c r="M82" s="2">
        <v>5</v>
      </c>
      <c r="N82" s="2">
        <v>5</v>
      </c>
      <c r="O82" s="2">
        <v>4</v>
      </c>
      <c r="P82" s="2">
        <v>5</v>
      </c>
      <c r="Q82" s="2">
        <v>5</v>
      </c>
      <c r="R82" s="2">
        <v>5</v>
      </c>
      <c r="S82" s="2">
        <v>5</v>
      </c>
    </row>
    <row r="83" spans="1:19" ht="15" customHeight="1" x14ac:dyDescent="0.45">
      <c r="A83" s="4">
        <v>82</v>
      </c>
      <c r="B83" s="5" t="s">
        <v>19</v>
      </c>
      <c r="C83" s="5" t="s">
        <v>24</v>
      </c>
      <c r="D83" s="5" t="s">
        <v>21</v>
      </c>
      <c r="E83" s="5" t="s">
        <v>21</v>
      </c>
      <c r="F83" s="5" t="s">
        <v>28</v>
      </c>
      <c r="G83" s="5" t="s">
        <v>31</v>
      </c>
      <c r="H83" s="4">
        <v>5</v>
      </c>
      <c r="I83" s="4">
        <v>5</v>
      </c>
      <c r="J83" s="4">
        <v>5</v>
      </c>
      <c r="K83" s="4">
        <v>4</v>
      </c>
      <c r="L83" s="4">
        <v>5</v>
      </c>
      <c r="M83" s="4">
        <v>4</v>
      </c>
      <c r="N83" s="4">
        <v>4</v>
      </c>
      <c r="O83" s="4">
        <v>3</v>
      </c>
      <c r="P83" s="4">
        <v>4</v>
      </c>
      <c r="Q83" s="4">
        <v>4</v>
      </c>
      <c r="R83" s="4">
        <v>4</v>
      </c>
      <c r="S83" s="4">
        <v>5</v>
      </c>
    </row>
    <row r="84" spans="1:19" ht="15" customHeight="1" x14ac:dyDescent="0.45">
      <c r="A84" s="2">
        <v>83</v>
      </c>
      <c r="B84" s="3" t="s">
        <v>19</v>
      </c>
      <c r="C84" s="3" t="s">
        <v>20</v>
      </c>
      <c r="D84" s="3" t="s">
        <v>21</v>
      </c>
      <c r="E84" s="3" t="s">
        <v>21</v>
      </c>
      <c r="F84" s="3" t="s">
        <v>22</v>
      </c>
      <c r="G84" s="3" t="s">
        <v>31</v>
      </c>
      <c r="H84" s="2">
        <v>5</v>
      </c>
      <c r="I84" s="2">
        <v>3</v>
      </c>
      <c r="J84" s="2">
        <v>5</v>
      </c>
      <c r="K84" s="2">
        <v>2</v>
      </c>
      <c r="L84" s="2">
        <v>4</v>
      </c>
      <c r="M84" s="2">
        <v>4</v>
      </c>
      <c r="N84" s="2">
        <v>4</v>
      </c>
      <c r="O84" s="2">
        <v>4</v>
      </c>
      <c r="P84" s="2">
        <v>5</v>
      </c>
      <c r="Q84" s="2">
        <v>5</v>
      </c>
      <c r="R84" s="2">
        <v>5</v>
      </c>
      <c r="S84" s="2">
        <v>3</v>
      </c>
    </row>
    <row r="85" spans="1:19" ht="15" customHeight="1" x14ac:dyDescent="0.45">
      <c r="A85" s="4">
        <v>84</v>
      </c>
      <c r="B85" s="5" t="s">
        <v>19</v>
      </c>
      <c r="C85" s="5" t="s">
        <v>20</v>
      </c>
      <c r="D85" s="5" t="s">
        <v>21</v>
      </c>
      <c r="E85" s="5" t="s">
        <v>21</v>
      </c>
      <c r="F85" s="5" t="s">
        <v>28</v>
      </c>
      <c r="G85" s="5" t="s">
        <v>25</v>
      </c>
      <c r="H85" s="4">
        <v>5</v>
      </c>
      <c r="I85" s="4">
        <v>4</v>
      </c>
      <c r="J85" s="4">
        <v>5</v>
      </c>
      <c r="K85" s="4">
        <v>4</v>
      </c>
      <c r="L85" s="4">
        <v>5</v>
      </c>
      <c r="M85" s="4">
        <v>4</v>
      </c>
      <c r="N85" s="4">
        <v>4</v>
      </c>
      <c r="O85" s="4">
        <v>3</v>
      </c>
      <c r="P85" s="4">
        <v>4</v>
      </c>
      <c r="Q85" s="4">
        <v>4</v>
      </c>
      <c r="R85" s="4">
        <v>4</v>
      </c>
      <c r="S85" s="4">
        <v>5</v>
      </c>
    </row>
    <row r="86" spans="1:19" ht="15" customHeight="1" x14ac:dyDescent="0.45">
      <c r="A86" s="2">
        <v>85</v>
      </c>
      <c r="B86" s="3" t="s">
        <v>19</v>
      </c>
      <c r="C86" s="3" t="s">
        <v>20</v>
      </c>
      <c r="D86" s="3" t="s">
        <v>21</v>
      </c>
      <c r="E86" s="3" t="s">
        <v>21</v>
      </c>
      <c r="F86" s="3" t="s">
        <v>28</v>
      </c>
      <c r="G86" s="3" t="s">
        <v>40</v>
      </c>
      <c r="H86" s="2">
        <v>4</v>
      </c>
      <c r="I86" s="2">
        <v>5</v>
      </c>
      <c r="J86" s="2">
        <v>5</v>
      </c>
      <c r="K86" s="2">
        <v>4</v>
      </c>
      <c r="L86" s="2">
        <v>5</v>
      </c>
      <c r="M86" s="2">
        <v>4</v>
      </c>
      <c r="N86" s="2">
        <v>5</v>
      </c>
      <c r="O86" s="2">
        <v>4</v>
      </c>
      <c r="P86" s="2">
        <v>4</v>
      </c>
      <c r="Q86" s="2">
        <v>5</v>
      </c>
      <c r="R86" s="2">
        <v>4</v>
      </c>
      <c r="S86" s="2">
        <v>5</v>
      </c>
    </row>
    <row r="87" spans="1:19" ht="15" customHeight="1" x14ac:dyDescent="0.45">
      <c r="A87" s="4">
        <v>86</v>
      </c>
      <c r="B87" s="5" t="s">
        <v>19</v>
      </c>
      <c r="C87" s="5" t="s">
        <v>20</v>
      </c>
      <c r="D87" s="5" t="s">
        <v>21</v>
      </c>
      <c r="E87" s="5" t="s">
        <v>21</v>
      </c>
      <c r="F87" s="5" t="s">
        <v>28</v>
      </c>
      <c r="G87" s="5" t="s">
        <v>23</v>
      </c>
      <c r="H87" s="4">
        <v>5</v>
      </c>
      <c r="I87" s="4">
        <v>4</v>
      </c>
      <c r="J87" s="4">
        <v>3</v>
      </c>
      <c r="K87" s="4">
        <v>4</v>
      </c>
      <c r="L87" s="4">
        <v>3</v>
      </c>
      <c r="M87" s="4">
        <v>5</v>
      </c>
      <c r="N87" s="4">
        <v>5</v>
      </c>
      <c r="O87" s="4">
        <v>5</v>
      </c>
      <c r="P87" s="4">
        <v>4</v>
      </c>
      <c r="Q87" s="4">
        <v>4</v>
      </c>
      <c r="R87" s="4">
        <v>4</v>
      </c>
      <c r="S87" s="4">
        <v>4</v>
      </c>
    </row>
    <row r="88" spans="1:19" ht="15" customHeight="1" x14ac:dyDescent="0.45">
      <c r="A88" s="2">
        <v>87</v>
      </c>
      <c r="B88" s="3" t="s">
        <v>19</v>
      </c>
      <c r="C88" s="3" t="s">
        <v>20</v>
      </c>
      <c r="D88" s="3" t="s">
        <v>21</v>
      </c>
      <c r="E88" s="3" t="s">
        <v>21</v>
      </c>
      <c r="F88" s="3" t="s">
        <v>30</v>
      </c>
      <c r="G88" s="3" t="s">
        <v>32</v>
      </c>
      <c r="H88" s="2">
        <v>4</v>
      </c>
      <c r="I88" s="2">
        <v>3</v>
      </c>
      <c r="J88" s="2">
        <v>4</v>
      </c>
      <c r="K88" s="2">
        <v>4</v>
      </c>
      <c r="L88" s="2">
        <v>5</v>
      </c>
      <c r="M88" s="2">
        <v>5</v>
      </c>
      <c r="N88" s="2">
        <v>4</v>
      </c>
      <c r="O88" s="2">
        <v>5</v>
      </c>
      <c r="P88" s="2">
        <v>5</v>
      </c>
      <c r="Q88" s="2">
        <v>5</v>
      </c>
      <c r="R88" s="2">
        <v>5</v>
      </c>
      <c r="S88" s="2">
        <v>3</v>
      </c>
    </row>
    <row r="89" spans="1:19" ht="15" customHeight="1" x14ac:dyDescent="0.45">
      <c r="A89" s="4">
        <v>88</v>
      </c>
      <c r="B89" s="5" t="s">
        <v>19</v>
      </c>
      <c r="C89" s="5" t="s">
        <v>20</v>
      </c>
      <c r="D89" s="5" t="s">
        <v>21</v>
      </c>
      <c r="E89" s="5" t="s">
        <v>21</v>
      </c>
      <c r="F89" s="5" t="s">
        <v>22</v>
      </c>
      <c r="G89" s="5" t="s">
        <v>23</v>
      </c>
      <c r="H89" s="4">
        <v>5</v>
      </c>
      <c r="I89" s="4">
        <v>5</v>
      </c>
      <c r="J89" s="4">
        <v>4</v>
      </c>
      <c r="K89" s="4">
        <v>2</v>
      </c>
      <c r="L89" s="4">
        <v>4</v>
      </c>
      <c r="M89" s="4">
        <v>5</v>
      </c>
      <c r="N89" s="4">
        <v>5</v>
      </c>
      <c r="O89" s="4">
        <v>4</v>
      </c>
      <c r="P89" s="4">
        <v>5</v>
      </c>
      <c r="Q89" s="4">
        <v>5</v>
      </c>
      <c r="R89" s="4">
        <v>4</v>
      </c>
      <c r="S89" s="4">
        <v>3</v>
      </c>
    </row>
    <row r="90" spans="1:19" ht="15" customHeight="1" x14ac:dyDescent="0.45">
      <c r="A90" s="2">
        <v>89</v>
      </c>
      <c r="B90" s="3" t="s">
        <v>35</v>
      </c>
      <c r="C90" s="3" t="s">
        <v>20</v>
      </c>
      <c r="D90" s="3" t="s">
        <v>27</v>
      </c>
      <c r="E90" s="3" t="s">
        <v>21</v>
      </c>
      <c r="F90" s="3" t="s">
        <v>28</v>
      </c>
      <c r="G90" s="3" t="s">
        <v>32</v>
      </c>
      <c r="H90" s="2">
        <v>3</v>
      </c>
      <c r="I90" s="2">
        <v>4</v>
      </c>
      <c r="J90" s="2">
        <v>4</v>
      </c>
      <c r="K90" s="2">
        <v>4</v>
      </c>
      <c r="L90" s="2">
        <v>5</v>
      </c>
      <c r="M90" s="2">
        <v>5</v>
      </c>
      <c r="N90" s="2">
        <v>3</v>
      </c>
      <c r="O90" s="2">
        <v>5</v>
      </c>
      <c r="P90" s="2">
        <v>4</v>
      </c>
      <c r="Q90" s="2">
        <v>5</v>
      </c>
      <c r="R90" s="2">
        <v>4</v>
      </c>
      <c r="S90" s="2">
        <v>5</v>
      </c>
    </row>
    <row r="91" spans="1:19" ht="15" customHeight="1" x14ac:dyDescent="0.45">
      <c r="A91" s="4">
        <v>90</v>
      </c>
      <c r="B91" s="5" t="s">
        <v>19</v>
      </c>
      <c r="C91" s="5" t="s">
        <v>20</v>
      </c>
      <c r="D91" s="5" t="s">
        <v>21</v>
      </c>
      <c r="E91" s="5" t="s">
        <v>21</v>
      </c>
      <c r="F91" s="5" t="s">
        <v>30</v>
      </c>
      <c r="G91" s="5" t="s">
        <v>32</v>
      </c>
      <c r="H91" s="4">
        <v>4</v>
      </c>
      <c r="I91" s="4">
        <v>4</v>
      </c>
      <c r="J91" s="4">
        <v>4</v>
      </c>
      <c r="K91" s="4">
        <v>3</v>
      </c>
      <c r="L91" s="4">
        <v>5</v>
      </c>
      <c r="M91" s="4">
        <v>5</v>
      </c>
      <c r="N91" s="4">
        <v>5</v>
      </c>
      <c r="O91" s="4">
        <v>5</v>
      </c>
      <c r="P91" s="4">
        <v>5</v>
      </c>
      <c r="Q91" s="4">
        <v>5</v>
      </c>
      <c r="R91" s="4">
        <v>5</v>
      </c>
      <c r="S91" s="4">
        <v>3</v>
      </c>
    </row>
    <row r="92" spans="1:19" ht="15" customHeight="1" x14ac:dyDescent="0.45">
      <c r="A92" s="2">
        <v>91</v>
      </c>
      <c r="B92" s="3" t="s">
        <v>26</v>
      </c>
      <c r="C92" s="3" t="s">
        <v>20</v>
      </c>
      <c r="D92" s="3" t="s">
        <v>27</v>
      </c>
      <c r="E92" s="3" t="s">
        <v>21</v>
      </c>
      <c r="F92" s="3" t="s">
        <v>28</v>
      </c>
      <c r="G92" s="3" t="s">
        <v>23</v>
      </c>
      <c r="H92" s="2">
        <v>4</v>
      </c>
      <c r="I92" s="2">
        <v>5</v>
      </c>
      <c r="J92" s="2">
        <v>4</v>
      </c>
      <c r="K92" s="2">
        <v>4</v>
      </c>
      <c r="L92" s="2">
        <v>4</v>
      </c>
      <c r="M92" s="2">
        <v>4</v>
      </c>
      <c r="N92" s="2">
        <v>5</v>
      </c>
      <c r="O92" s="2">
        <v>4</v>
      </c>
      <c r="P92" s="2">
        <v>5</v>
      </c>
      <c r="Q92" s="2">
        <v>5</v>
      </c>
      <c r="R92" s="2">
        <v>4</v>
      </c>
      <c r="S92" s="2">
        <v>5</v>
      </c>
    </row>
    <row r="93" spans="1:19" ht="15" customHeight="1" x14ac:dyDescent="0.45">
      <c r="A93" s="4">
        <v>92</v>
      </c>
      <c r="B93" s="5" t="s">
        <v>19</v>
      </c>
      <c r="C93" s="5" t="s">
        <v>24</v>
      </c>
      <c r="D93" s="5" t="s">
        <v>21</v>
      </c>
      <c r="E93" s="5" t="s">
        <v>21</v>
      </c>
      <c r="F93" s="5" t="s">
        <v>30</v>
      </c>
      <c r="G93" s="5" t="s">
        <v>25</v>
      </c>
      <c r="H93" s="4">
        <v>4</v>
      </c>
      <c r="I93" s="4">
        <v>4</v>
      </c>
      <c r="J93" s="4">
        <v>5</v>
      </c>
      <c r="K93" s="4">
        <v>3</v>
      </c>
      <c r="L93" s="4">
        <v>4</v>
      </c>
      <c r="M93" s="4">
        <v>4</v>
      </c>
      <c r="N93" s="4">
        <v>4</v>
      </c>
      <c r="O93" s="4">
        <v>4</v>
      </c>
      <c r="P93" s="4">
        <v>4</v>
      </c>
      <c r="Q93" s="4">
        <v>4</v>
      </c>
      <c r="R93" s="4">
        <v>5</v>
      </c>
      <c r="S93" s="4">
        <v>4</v>
      </c>
    </row>
    <row r="94" spans="1:19" ht="15" customHeight="1" x14ac:dyDescent="0.45">
      <c r="A94" s="2">
        <v>93</v>
      </c>
      <c r="B94" s="3" t="s">
        <v>19</v>
      </c>
      <c r="C94" s="3" t="s">
        <v>20</v>
      </c>
      <c r="D94" s="3" t="s">
        <v>21</v>
      </c>
      <c r="E94" s="3" t="s">
        <v>21</v>
      </c>
      <c r="F94" s="3" t="s">
        <v>22</v>
      </c>
      <c r="G94" s="3" t="s">
        <v>23</v>
      </c>
      <c r="H94" s="2">
        <v>5</v>
      </c>
      <c r="I94" s="2">
        <v>5</v>
      </c>
      <c r="J94" s="2">
        <v>3</v>
      </c>
      <c r="K94" s="2">
        <v>3</v>
      </c>
      <c r="L94" s="2">
        <v>5</v>
      </c>
      <c r="M94" s="2">
        <v>4</v>
      </c>
      <c r="N94" s="2">
        <v>5</v>
      </c>
      <c r="O94" s="2">
        <v>5</v>
      </c>
      <c r="P94" s="2">
        <v>5</v>
      </c>
      <c r="Q94" s="2">
        <v>5</v>
      </c>
      <c r="R94" s="2">
        <v>5</v>
      </c>
      <c r="S94" s="2">
        <v>5</v>
      </c>
    </row>
    <row r="95" spans="1:19" ht="15" customHeight="1" x14ac:dyDescent="0.45">
      <c r="A95" s="4">
        <v>94</v>
      </c>
      <c r="B95" s="5" t="s">
        <v>19</v>
      </c>
      <c r="C95" s="5" t="s">
        <v>24</v>
      </c>
      <c r="D95" s="5" t="s">
        <v>21</v>
      </c>
      <c r="E95" s="5" t="s">
        <v>21</v>
      </c>
      <c r="F95" s="5" t="s">
        <v>43</v>
      </c>
      <c r="G95" s="5" t="s">
        <v>40</v>
      </c>
      <c r="H95" s="4">
        <v>4</v>
      </c>
      <c r="I95" s="4">
        <v>5</v>
      </c>
      <c r="J95" s="4">
        <v>5</v>
      </c>
      <c r="K95" s="4">
        <v>5</v>
      </c>
      <c r="L95" s="4">
        <v>5</v>
      </c>
      <c r="M95" s="4">
        <v>5</v>
      </c>
      <c r="N95" s="4">
        <v>4</v>
      </c>
      <c r="O95" s="4">
        <v>5</v>
      </c>
      <c r="P95" s="4">
        <v>5</v>
      </c>
      <c r="Q95" s="4">
        <v>5</v>
      </c>
      <c r="R95" s="4">
        <v>4</v>
      </c>
      <c r="S95" s="4">
        <v>4</v>
      </c>
    </row>
    <row r="96" spans="1:19" ht="15" customHeight="1" x14ac:dyDescent="0.45">
      <c r="A96" s="2">
        <v>95</v>
      </c>
      <c r="B96" s="3" t="s">
        <v>19</v>
      </c>
      <c r="C96" s="3" t="s">
        <v>20</v>
      </c>
      <c r="D96" s="3" t="s">
        <v>21</v>
      </c>
      <c r="E96" s="3" t="s">
        <v>21</v>
      </c>
      <c r="F96" s="3" t="s">
        <v>28</v>
      </c>
      <c r="G96" s="3" t="s">
        <v>31</v>
      </c>
      <c r="H96" s="2">
        <v>4</v>
      </c>
      <c r="I96" s="2">
        <v>5</v>
      </c>
      <c r="J96" s="2">
        <v>5</v>
      </c>
      <c r="K96" s="2">
        <v>2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4</v>
      </c>
      <c r="R96" s="2">
        <v>4</v>
      </c>
      <c r="S96" s="2">
        <v>4</v>
      </c>
    </row>
    <row r="97" spans="1:19" ht="15" customHeight="1" x14ac:dyDescent="0.45">
      <c r="A97" s="4">
        <v>96</v>
      </c>
      <c r="B97" s="5" t="s">
        <v>26</v>
      </c>
      <c r="C97" s="5" t="s">
        <v>20</v>
      </c>
      <c r="D97" s="5" t="s">
        <v>27</v>
      </c>
      <c r="E97" s="5" t="s">
        <v>21</v>
      </c>
      <c r="F97" s="5" t="s">
        <v>28</v>
      </c>
      <c r="G97" s="5" t="s">
        <v>23</v>
      </c>
      <c r="H97" s="4">
        <v>5</v>
      </c>
      <c r="I97" s="4">
        <v>5</v>
      </c>
      <c r="J97" s="4">
        <v>5</v>
      </c>
      <c r="K97" s="4">
        <v>2</v>
      </c>
      <c r="L97" s="4">
        <v>5</v>
      </c>
      <c r="M97" s="4">
        <v>4</v>
      </c>
      <c r="N97" s="4">
        <v>5</v>
      </c>
      <c r="O97" s="4">
        <v>4</v>
      </c>
      <c r="P97" s="4">
        <v>5</v>
      </c>
      <c r="Q97" s="4">
        <v>4</v>
      </c>
      <c r="R97" s="4">
        <v>5</v>
      </c>
      <c r="S97" s="4">
        <v>5</v>
      </c>
    </row>
    <row r="98" spans="1:19" ht="15" customHeight="1" x14ac:dyDescent="0.45">
      <c r="A98" s="2">
        <v>97</v>
      </c>
      <c r="B98" s="3" t="s">
        <v>35</v>
      </c>
      <c r="C98" s="3" t="s">
        <v>24</v>
      </c>
      <c r="D98" s="3" t="s">
        <v>27</v>
      </c>
      <c r="E98" s="3" t="s">
        <v>21</v>
      </c>
      <c r="F98" s="3" t="s">
        <v>28</v>
      </c>
      <c r="G98" s="3" t="s">
        <v>31</v>
      </c>
      <c r="H98" s="2">
        <v>5</v>
      </c>
      <c r="I98" s="2">
        <v>4</v>
      </c>
      <c r="J98" s="2">
        <v>3</v>
      </c>
      <c r="K98" s="2">
        <v>5</v>
      </c>
      <c r="L98" s="2">
        <v>5</v>
      </c>
      <c r="M98" s="2">
        <v>5</v>
      </c>
      <c r="N98" s="2">
        <v>4</v>
      </c>
      <c r="O98" s="2">
        <v>4</v>
      </c>
      <c r="P98" s="2">
        <v>4</v>
      </c>
      <c r="Q98" s="2">
        <v>5</v>
      </c>
      <c r="R98" s="2">
        <v>4</v>
      </c>
      <c r="S98" s="2">
        <v>4</v>
      </c>
    </row>
    <row r="99" spans="1:19" ht="15" customHeight="1" x14ac:dyDescent="0.45">
      <c r="A99" s="4">
        <v>98</v>
      </c>
      <c r="B99" s="5" t="s">
        <v>19</v>
      </c>
      <c r="C99" s="5" t="s">
        <v>24</v>
      </c>
      <c r="D99" s="5" t="s">
        <v>21</v>
      </c>
      <c r="E99" s="5" t="s">
        <v>21</v>
      </c>
      <c r="F99" s="5" t="s">
        <v>28</v>
      </c>
      <c r="G99" s="5" t="s">
        <v>32</v>
      </c>
      <c r="H99" s="4">
        <v>5</v>
      </c>
      <c r="I99" s="4">
        <v>3</v>
      </c>
      <c r="J99" s="4">
        <v>4</v>
      </c>
      <c r="K99" s="4">
        <v>4</v>
      </c>
      <c r="L99" s="4">
        <v>5</v>
      </c>
      <c r="M99" s="4">
        <v>4</v>
      </c>
      <c r="N99" s="4">
        <v>3</v>
      </c>
      <c r="O99" s="4">
        <v>4</v>
      </c>
      <c r="P99" s="4">
        <v>4</v>
      </c>
      <c r="Q99" s="4">
        <v>5</v>
      </c>
      <c r="R99" s="4">
        <v>5</v>
      </c>
      <c r="S99" s="4">
        <v>3</v>
      </c>
    </row>
    <row r="100" spans="1:19" ht="15" customHeight="1" x14ac:dyDescent="0.45">
      <c r="A100" s="2">
        <v>99</v>
      </c>
      <c r="B100" s="3" t="s">
        <v>26</v>
      </c>
      <c r="C100" s="3" t="s">
        <v>20</v>
      </c>
      <c r="D100" s="3" t="s">
        <v>27</v>
      </c>
      <c r="E100" s="3" t="s">
        <v>21</v>
      </c>
      <c r="F100" s="3" t="s">
        <v>22</v>
      </c>
      <c r="G100" s="3" t="s">
        <v>32</v>
      </c>
      <c r="H100" s="2">
        <v>4</v>
      </c>
      <c r="I100" s="2">
        <v>3</v>
      </c>
      <c r="J100" s="2">
        <v>4</v>
      </c>
      <c r="K100" s="2">
        <v>4</v>
      </c>
      <c r="L100" s="2">
        <v>4</v>
      </c>
      <c r="M100" s="2">
        <v>4</v>
      </c>
      <c r="N100" s="2">
        <v>5</v>
      </c>
      <c r="O100" s="2">
        <v>4</v>
      </c>
      <c r="P100" s="2">
        <v>5</v>
      </c>
      <c r="Q100" s="2">
        <v>4</v>
      </c>
      <c r="R100" s="2">
        <v>4</v>
      </c>
      <c r="S100" s="2">
        <v>5</v>
      </c>
    </row>
    <row r="101" spans="1:19" ht="15" customHeight="1" x14ac:dyDescent="0.45">
      <c r="A101" s="4">
        <v>100</v>
      </c>
      <c r="B101" s="5" t="s">
        <v>26</v>
      </c>
      <c r="C101" s="5" t="s">
        <v>20</v>
      </c>
      <c r="D101" s="5" t="s">
        <v>27</v>
      </c>
      <c r="E101" s="5" t="s">
        <v>21</v>
      </c>
      <c r="F101" s="5" t="s">
        <v>28</v>
      </c>
      <c r="G101" s="5" t="s">
        <v>40</v>
      </c>
      <c r="H101" s="4">
        <v>5</v>
      </c>
      <c r="I101" s="4">
        <v>5</v>
      </c>
      <c r="J101" s="4">
        <v>5</v>
      </c>
      <c r="K101" s="4">
        <v>5</v>
      </c>
      <c r="L101" s="4">
        <v>4</v>
      </c>
      <c r="M101" s="4">
        <v>5</v>
      </c>
      <c r="N101" s="4">
        <v>5</v>
      </c>
      <c r="O101" s="4">
        <v>5</v>
      </c>
      <c r="P101" s="4">
        <v>4</v>
      </c>
      <c r="Q101" s="4">
        <v>4</v>
      </c>
      <c r="R101" s="4">
        <v>5</v>
      </c>
      <c r="S101" s="4">
        <v>5</v>
      </c>
    </row>
    <row r="102" spans="1:19" ht="15" customHeight="1" x14ac:dyDescent="0.45">
      <c r="A102" s="2">
        <v>101</v>
      </c>
      <c r="B102" s="3" t="s">
        <v>19</v>
      </c>
      <c r="C102" s="3" t="s">
        <v>24</v>
      </c>
      <c r="D102" s="3" t="s">
        <v>21</v>
      </c>
      <c r="E102" s="3" t="s">
        <v>21</v>
      </c>
      <c r="F102" s="3" t="s">
        <v>22</v>
      </c>
      <c r="G102" s="3" t="s">
        <v>29</v>
      </c>
      <c r="H102" s="2">
        <v>5</v>
      </c>
      <c r="I102" s="2">
        <v>4</v>
      </c>
      <c r="J102" s="2">
        <v>4</v>
      </c>
      <c r="K102" s="2">
        <v>4</v>
      </c>
      <c r="L102" s="2">
        <v>4</v>
      </c>
      <c r="M102" s="2">
        <v>4</v>
      </c>
      <c r="N102" s="2">
        <v>5</v>
      </c>
      <c r="O102" s="2">
        <v>5</v>
      </c>
      <c r="P102" s="2">
        <v>5</v>
      </c>
      <c r="Q102" s="2">
        <v>4</v>
      </c>
      <c r="R102" s="2">
        <v>5</v>
      </c>
      <c r="S102" s="2">
        <v>4</v>
      </c>
    </row>
    <row r="103" spans="1:19" ht="15" customHeight="1" x14ac:dyDescent="0.45">
      <c r="A103" s="4">
        <v>102</v>
      </c>
      <c r="B103" s="5" t="s">
        <v>19</v>
      </c>
      <c r="C103" s="5" t="s">
        <v>24</v>
      </c>
      <c r="D103" s="5" t="s">
        <v>21</v>
      </c>
      <c r="E103" s="5" t="s">
        <v>21</v>
      </c>
      <c r="F103" s="5" t="s">
        <v>43</v>
      </c>
      <c r="G103" s="5" t="s">
        <v>23</v>
      </c>
      <c r="H103" s="4">
        <v>4</v>
      </c>
      <c r="I103" s="4">
        <v>4</v>
      </c>
      <c r="J103" s="4">
        <v>5</v>
      </c>
      <c r="K103" s="4">
        <v>3</v>
      </c>
      <c r="L103" s="4">
        <v>4</v>
      </c>
      <c r="M103" s="4">
        <v>5</v>
      </c>
      <c r="N103" s="4">
        <v>5</v>
      </c>
      <c r="O103" s="4">
        <v>5</v>
      </c>
      <c r="P103" s="4">
        <v>4</v>
      </c>
      <c r="Q103" s="4">
        <v>5</v>
      </c>
      <c r="R103" s="4">
        <v>5</v>
      </c>
      <c r="S103" s="4">
        <v>4</v>
      </c>
    </row>
    <row r="104" spans="1:19" ht="15" customHeight="1" x14ac:dyDescent="0.45">
      <c r="A104" s="2">
        <v>103</v>
      </c>
      <c r="B104" s="3" t="s">
        <v>19</v>
      </c>
      <c r="C104" s="3" t="s">
        <v>20</v>
      </c>
      <c r="D104" s="3" t="s">
        <v>21</v>
      </c>
      <c r="E104" s="3" t="s">
        <v>21</v>
      </c>
      <c r="F104" s="3" t="s">
        <v>22</v>
      </c>
      <c r="G104" s="3" t="s">
        <v>25</v>
      </c>
      <c r="H104" s="2">
        <v>5</v>
      </c>
      <c r="I104" s="2">
        <v>5</v>
      </c>
      <c r="J104" s="2">
        <v>5</v>
      </c>
      <c r="K104" s="2">
        <v>5</v>
      </c>
      <c r="L104" s="2">
        <v>5</v>
      </c>
      <c r="M104" s="2">
        <v>4</v>
      </c>
      <c r="N104" s="2">
        <v>4</v>
      </c>
      <c r="O104" s="2">
        <v>3</v>
      </c>
      <c r="P104" s="2">
        <v>4</v>
      </c>
      <c r="Q104" s="2">
        <v>4</v>
      </c>
      <c r="R104" s="2">
        <v>4</v>
      </c>
      <c r="S104" s="2">
        <v>3</v>
      </c>
    </row>
    <row r="105" spans="1:19" ht="15" customHeight="1" x14ac:dyDescent="0.45">
      <c r="A105" s="4">
        <v>104</v>
      </c>
      <c r="B105" s="5" t="s">
        <v>41</v>
      </c>
      <c r="C105" s="5" t="s">
        <v>24</v>
      </c>
      <c r="D105" s="5" t="s">
        <v>27</v>
      </c>
      <c r="E105" s="5" t="s">
        <v>21</v>
      </c>
      <c r="F105" s="5" t="s">
        <v>28</v>
      </c>
      <c r="G105" s="5" t="s">
        <v>33</v>
      </c>
      <c r="H105" s="4">
        <v>5</v>
      </c>
      <c r="I105" s="4">
        <v>4</v>
      </c>
      <c r="J105" s="4">
        <v>4</v>
      </c>
      <c r="K105" s="4">
        <v>4</v>
      </c>
      <c r="L105" s="4">
        <v>4</v>
      </c>
      <c r="M105" s="4">
        <v>5</v>
      </c>
      <c r="N105" s="4">
        <v>5</v>
      </c>
      <c r="O105" s="4">
        <v>4</v>
      </c>
      <c r="P105" s="4">
        <v>5</v>
      </c>
      <c r="Q105" s="4">
        <v>5</v>
      </c>
      <c r="R105" s="4">
        <v>4</v>
      </c>
      <c r="S105" s="4">
        <v>5</v>
      </c>
    </row>
    <row r="106" spans="1:19" ht="15" customHeight="1" x14ac:dyDescent="0.45">
      <c r="A106" s="2">
        <v>105</v>
      </c>
      <c r="B106" s="3" t="s">
        <v>19</v>
      </c>
      <c r="C106" s="3" t="s">
        <v>24</v>
      </c>
      <c r="D106" s="3" t="s">
        <v>21</v>
      </c>
      <c r="E106" s="3" t="s">
        <v>21</v>
      </c>
      <c r="F106" s="3" t="s">
        <v>22</v>
      </c>
      <c r="G106" s="3" t="s">
        <v>29</v>
      </c>
      <c r="H106" s="2">
        <v>5</v>
      </c>
      <c r="I106" s="2">
        <v>4</v>
      </c>
      <c r="J106" s="2">
        <v>4</v>
      </c>
      <c r="K106" s="2">
        <v>4</v>
      </c>
      <c r="L106" s="2">
        <v>5</v>
      </c>
      <c r="M106" s="2">
        <v>5</v>
      </c>
      <c r="N106" s="2">
        <v>4</v>
      </c>
      <c r="O106" s="2">
        <v>4</v>
      </c>
      <c r="P106" s="2">
        <v>5</v>
      </c>
      <c r="Q106" s="2">
        <v>4</v>
      </c>
      <c r="R106" s="2">
        <v>5</v>
      </c>
      <c r="S106" s="2">
        <v>4</v>
      </c>
    </row>
    <row r="107" spans="1:19" ht="15" customHeight="1" x14ac:dyDescent="0.45">
      <c r="A107" s="4">
        <v>106</v>
      </c>
      <c r="B107" s="5" t="s">
        <v>35</v>
      </c>
      <c r="C107" s="5" t="s">
        <v>20</v>
      </c>
      <c r="D107" s="5" t="s">
        <v>27</v>
      </c>
      <c r="E107" s="5" t="s">
        <v>21</v>
      </c>
      <c r="F107" s="5" t="s">
        <v>28</v>
      </c>
      <c r="G107" s="5" t="s">
        <v>31</v>
      </c>
      <c r="H107" s="4">
        <v>4</v>
      </c>
      <c r="I107" s="4">
        <v>4</v>
      </c>
      <c r="J107" s="4">
        <v>4</v>
      </c>
      <c r="K107" s="4">
        <v>4</v>
      </c>
      <c r="L107" s="4">
        <v>4</v>
      </c>
      <c r="M107" s="4">
        <v>4</v>
      </c>
      <c r="N107" s="4">
        <v>4</v>
      </c>
      <c r="O107" s="4">
        <v>4</v>
      </c>
      <c r="P107" s="4">
        <v>3</v>
      </c>
      <c r="Q107" s="4">
        <v>4</v>
      </c>
      <c r="R107" s="4">
        <v>5</v>
      </c>
      <c r="S107" s="4">
        <v>4</v>
      </c>
    </row>
    <row r="108" spans="1:19" ht="15" customHeight="1" x14ac:dyDescent="0.45">
      <c r="A108" s="2">
        <v>107</v>
      </c>
      <c r="B108" s="3" t="s">
        <v>19</v>
      </c>
      <c r="C108" s="3" t="s">
        <v>24</v>
      </c>
      <c r="D108" s="3" t="s">
        <v>21</v>
      </c>
      <c r="E108" s="3" t="s">
        <v>21</v>
      </c>
      <c r="F108" s="3" t="s">
        <v>22</v>
      </c>
      <c r="G108" s="3" t="s">
        <v>36</v>
      </c>
      <c r="H108" s="2">
        <v>4</v>
      </c>
      <c r="I108" s="2">
        <v>3</v>
      </c>
      <c r="J108" s="2">
        <v>4</v>
      </c>
      <c r="K108" s="2">
        <v>5</v>
      </c>
      <c r="L108" s="2">
        <v>5</v>
      </c>
      <c r="M108" s="2">
        <v>4</v>
      </c>
      <c r="N108" s="2">
        <v>5</v>
      </c>
      <c r="O108" s="2">
        <v>5</v>
      </c>
      <c r="P108" s="2">
        <v>4</v>
      </c>
      <c r="Q108" s="2">
        <v>5</v>
      </c>
      <c r="R108" s="2">
        <v>5</v>
      </c>
      <c r="S108" s="2">
        <v>3</v>
      </c>
    </row>
    <row r="109" spans="1:19" ht="15" customHeight="1" x14ac:dyDescent="0.45">
      <c r="A109" s="4">
        <v>108</v>
      </c>
      <c r="B109" s="5" t="s">
        <v>19</v>
      </c>
      <c r="C109" s="5" t="s">
        <v>24</v>
      </c>
      <c r="D109" s="5" t="s">
        <v>21</v>
      </c>
      <c r="E109" s="5" t="s">
        <v>21</v>
      </c>
      <c r="F109" s="5" t="s">
        <v>30</v>
      </c>
      <c r="G109" s="5" t="s">
        <v>23</v>
      </c>
      <c r="H109" s="4">
        <v>4</v>
      </c>
      <c r="I109" s="4">
        <v>4</v>
      </c>
      <c r="J109" s="4">
        <v>3</v>
      </c>
      <c r="K109" s="4">
        <v>3</v>
      </c>
      <c r="L109" s="4">
        <v>5</v>
      </c>
      <c r="M109" s="4">
        <v>5</v>
      </c>
      <c r="N109" s="4">
        <v>4</v>
      </c>
      <c r="O109" s="4">
        <v>5</v>
      </c>
      <c r="P109" s="4">
        <v>5</v>
      </c>
      <c r="Q109" s="4">
        <v>5</v>
      </c>
      <c r="R109" s="4">
        <v>5</v>
      </c>
      <c r="S109" s="4">
        <v>4</v>
      </c>
    </row>
    <row r="110" spans="1:19" ht="15" customHeight="1" x14ac:dyDescent="0.45">
      <c r="A110" s="2">
        <v>109</v>
      </c>
      <c r="B110" s="3" t="s">
        <v>26</v>
      </c>
      <c r="C110" s="3" t="s">
        <v>20</v>
      </c>
      <c r="D110" s="3" t="s">
        <v>27</v>
      </c>
      <c r="E110" s="3" t="s">
        <v>21</v>
      </c>
      <c r="F110" s="3" t="s">
        <v>30</v>
      </c>
      <c r="G110" s="3" t="s">
        <v>29</v>
      </c>
      <c r="H110" s="2">
        <v>4</v>
      </c>
      <c r="I110" s="2">
        <v>5</v>
      </c>
      <c r="J110" s="2">
        <v>4</v>
      </c>
      <c r="K110" s="2">
        <v>4</v>
      </c>
      <c r="L110" s="2">
        <v>3</v>
      </c>
      <c r="M110" s="2">
        <v>4</v>
      </c>
      <c r="N110" s="2">
        <v>5</v>
      </c>
      <c r="O110" s="2">
        <v>5</v>
      </c>
      <c r="P110" s="2">
        <v>4</v>
      </c>
      <c r="Q110" s="2">
        <v>4</v>
      </c>
      <c r="R110" s="2">
        <v>5</v>
      </c>
      <c r="S110" s="2">
        <v>5</v>
      </c>
    </row>
    <row r="111" spans="1:19" ht="15" customHeight="1" x14ac:dyDescent="0.45">
      <c r="A111" s="4">
        <v>110</v>
      </c>
      <c r="B111" s="5" t="s">
        <v>26</v>
      </c>
      <c r="C111" s="5" t="s">
        <v>24</v>
      </c>
      <c r="D111" s="5" t="s">
        <v>27</v>
      </c>
      <c r="E111" s="5" t="s">
        <v>21</v>
      </c>
      <c r="F111" s="5" t="s">
        <v>28</v>
      </c>
      <c r="G111" s="5" t="s">
        <v>25</v>
      </c>
      <c r="H111" s="4">
        <v>5</v>
      </c>
      <c r="I111" s="4">
        <v>4</v>
      </c>
      <c r="J111" s="4">
        <v>4</v>
      </c>
      <c r="K111" s="4">
        <v>4</v>
      </c>
      <c r="L111" s="4">
        <v>5</v>
      </c>
      <c r="M111" s="4">
        <v>5</v>
      </c>
      <c r="N111" s="4">
        <v>4</v>
      </c>
      <c r="O111" s="4">
        <v>3</v>
      </c>
      <c r="P111" s="4">
        <v>4</v>
      </c>
      <c r="Q111" s="4">
        <v>4</v>
      </c>
      <c r="R111" s="4">
        <v>4</v>
      </c>
      <c r="S111" s="4">
        <v>5</v>
      </c>
    </row>
    <row r="112" spans="1:19" ht="15" customHeight="1" x14ac:dyDescent="0.45">
      <c r="A112" s="2">
        <v>111</v>
      </c>
      <c r="B112" s="3" t="s">
        <v>19</v>
      </c>
      <c r="C112" s="3" t="s">
        <v>24</v>
      </c>
      <c r="D112" s="3" t="s">
        <v>21</v>
      </c>
      <c r="E112" s="3" t="s">
        <v>21</v>
      </c>
      <c r="F112" s="3" t="s">
        <v>28</v>
      </c>
      <c r="G112" s="3" t="s">
        <v>33</v>
      </c>
      <c r="H112" s="2">
        <v>5</v>
      </c>
      <c r="I112" s="2">
        <v>5</v>
      </c>
      <c r="J112" s="2">
        <v>5</v>
      </c>
      <c r="K112" s="2">
        <v>4</v>
      </c>
      <c r="L112" s="2">
        <v>4</v>
      </c>
      <c r="M112" s="2">
        <v>4</v>
      </c>
      <c r="N112" s="2">
        <v>5</v>
      </c>
      <c r="O112" s="2">
        <v>5</v>
      </c>
      <c r="P112" s="2">
        <v>5</v>
      </c>
      <c r="Q112" s="2">
        <v>4</v>
      </c>
      <c r="R112" s="2">
        <v>5</v>
      </c>
      <c r="S112" s="2">
        <v>4</v>
      </c>
    </row>
    <row r="113" spans="1:19" ht="15" customHeight="1" x14ac:dyDescent="0.45">
      <c r="A113" s="4">
        <v>112</v>
      </c>
      <c r="B113" s="5" t="s">
        <v>19</v>
      </c>
      <c r="C113" s="5" t="s">
        <v>20</v>
      </c>
      <c r="D113" s="5" t="s">
        <v>21</v>
      </c>
      <c r="E113" s="5" t="s">
        <v>21</v>
      </c>
      <c r="F113" s="5" t="s">
        <v>22</v>
      </c>
      <c r="G113" s="5" t="s">
        <v>23</v>
      </c>
      <c r="H113" s="4">
        <v>4</v>
      </c>
      <c r="I113" s="4">
        <v>5</v>
      </c>
      <c r="J113" s="4">
        <v>4</v>
      </c>
      <c r="K113" s="4">
        <v>2</v>
      </c>
      <c r="L113" s="4">
        <v>4</v>
      </c>
      <c r="M113" s="4">
        <v>4</v>
      </c>
      <c r="N113" s="4">
        <v>5</v>
      </c>
      <c r="O113" s="4">
        <v>4</v>
      </c>
      <c r="P113" s="4">
        <v>4</v>
      </c>
      <c r="Q113" s="4">
        <v>5</v>
      </c>
      <c r="R113" s="4">
        <v>4</v>
      </c>
      <c r="S113" s="4">
        <v>4</v>
      </c>
    </row>
    <row r="114" spans="1:19" ht="15" customHeight="1" x14ac:dyDescent="0.45">
      <c r="A114" s="2">
        <v>113</v>
      </c>
      <c r="B114" s="3" t="s">
        <v>19</v>
      </c>
      <c r="C114" s="3" t="s">
        <v>20</v>
      </c>
      <c r="D114" s="3" t="s">
        <v>21</v>
      </c>
      <c r="E114" s="3" t="s">
        <v>21</v>
      </c>
      <c r="F114" s="3" t="s">
        <v>22</v>
      </c>
      <c r="G114" s="3" t="s">
        <v>33</v>
      </c>
      <c r="H114" s="2">
        <v>5</v>
      </c>
      <c r="I114" s="2">
        <v>5</v>
      </c>
      <c r="J114" s="2">
        <v>4</v>
      </c>
      <c r="K114" s="2">
        <v>3</v>
      </c>
      <c r="L114" s="2">
        <v>5</v>
      </c>
      <c r="M114" s="2">
        <v>5</v>
      </c>
      <c r="N114" s="2">
        <v>4</v>
      </c>
      <c r="O114" s="2">
        <v>5</v>
      </c>
      <c r="P114" s="2">
        <v>4</v>
      </c>
      <c r="Q114" s="2">
        <v>5</v>
      </c>
      <c r="R114" s="2">
        <v>4</v>
      </c>
      <c r="S114" s="2">
        <v>5</v>
      </c>
    </row>
    <row r="115" spans="1:19" ht="15" customHeight="1" x14ac:dyDescent="0.45">
      <c r="A115" s="4">
        <v>114</v>
      </c>
      <c r="B115" s="5" t="s">
        <v>19</v>
      </c>
      <c r="C115" s="5" t="s">
        <v>24</v>
      </c>
      <c r="D115" s="5" t="s">
        <v>21</v>
      </c>
      <c r="E115" s="5" t="s">
        <v>21</v>
      </c>
      <c r="F115" s="5" t="s">
        <v>28</v>
      </c>
      <c r="G115" s="5" t="s">
        <v>23</v>
      </c>
      <c r="H115" s="4">
        <v>5</v>
      </c>
      <c r="I115" s="4">
        <v>5</v>
      </c>
      <c r="J115" s="4">
        <v>4</v>
      </c>
      <c r="K115" s="4">
        <v>3</v>
      </c>
      <c r="L115" s="4">
        <v>4</v>
      </c>
      <c r="M115" s="4">
        <v>4</v>
      </c>
      <c r="N115" s="4">
        <v>5</v>
      </c>
      <c r="O115" s="4">
        <v>4</v>
      </c>
      <c r="P115" s="4">
        <v>5</v>
      </c>
      <c r="Q115" s="4">
        <v>5</v>
      </c>
      <c r="R115" s="4">
        <v>5</v>
      </c>
      <c r="S115" s="4">
        <v>5</v>
      </c>
    </row>
    <row r="116" spans="1:19" ht="15" customHeight="1" x14ac:dyDescent="0.45">
      <c r="A116" s="2">
        <v>115</v>
      </c>
      <c r="B116" s="3" t="s">
        <v>19</v>
      </c>
      <c r="C116" s="3" t="s">
        <v>20</v>
      </c>
      <c r="D116" s="3" t="s">
        <v>21</v>
      </c>
      <c r="E116" s="3" t="s">
        <v>21</v>
      </c>
      <c r="F116" s="3" t="s">
        <v>22</v>
      </c>
      <c r="G116" s="3" t="s">
        <v>25</v>
      </c>
      <c r="H116" s="2">
        <v>4</v>
      </c>
      <c r="I116" s="2">
        <v>4</v>
      </c>
      <c r="J116" s="2">
        <v>5</v>
      </c>
      <c r="K116" s="2">
        <v>5</v>
      </c>
      <c r="L116" s="2">
        <v>5</v>
      </c>
      <c r="M116" s="2">
        <v>5</v>
      </c>
      <c r="N116" s="2">
        <v>2</v>
      </c>
      <c r="O116" s="2">
        <v>4</v>
      </c>
      <c r="P116" s="2">
        <v>4</v>
      </c>
      <c r="Q116" s="2">
        <v>5</v>
      </c>
      <c r="R116" s="2">
        <v>4</v>
      </c>
      <c r="S116" s="2">
        <v>5</v>
      </c>
    </row>
    <row r="117" spans="1:19" ht="15" customHeight="1" x14ac:dyDescent="0.45">
      <c r="A117" s="4">
        <v>116</v>
      </c>
      <c r="B117" s="5" t="s">
        <v>19</v>
      </c>
      <c r="C117" s="5" t="s">
        <v>20</v>
      </c>
      <c r="D117" s="5" t="s">
        <v>27</v>
      </c>
      <c r="E117" s="5" t="s">
        <v>21</v>
      </c>
      <c r="F117" s="5" t="s">
        <v>22</v>
      </c>
      <c r="G117" s="5" t="s">
        <v>33</v>
      </c>
      <c r="H117" s="4">
        <v>5</v>
      </c>
      <c r="I117" s="4">
        <v>5</v>
      </c>
      <c r="J117" s="4">
        <v>4</v>
      </c>
      <c r="K117" s="4">
        <v>4</v>
      </c>
      <c r="L117" s="4">
        <v>4</v>
      </c>
      <c r="M117" s="4">
        <v>5</v>
      </c>
      <c r="N117" s="4">
        <v>5</v>
      </c>
      <c r="O117" s="4">
        <v>5</v>
      </c>
      <c r="P117" s="4">
        <v>4</v>
      </c>
      <c r="Q117" s="4">
        <v>5</v>
      </c>
      <c r="R117" s="4">
        <v>4</v>
      </c>
      <c r="S117" s="4">
        <v>5</v>
      </c>
    </row>
    <row r="118" spans="1:19" ht="15" customHeight="1" x14ac:dyDescent="0.45">
      <c r="A118" s="2">
        <v>117</v>
      </c>
      <c r="B118" s="3" t="s">
        <v>19</v>
      </c>
      <c r="C118" s="3" t="s">
        <v>20</v>
      </c>
      <c r="D118" s="3" t="s">
        <v>21</v>
      </c>
      <c r="E118" s="3" t="s">
        <v>21</v>
      </c>
      <c r="F118" s="3" t="s">
        <v>30</v>
      </c>
      <c r="G118" s="3" t="s">
        <v>23</v>
      </c>
      <c r="H118" s="2">
        <v>5</v>
      </c>
      <c r="I118" s="2">
        <v>5</v>
      </c>
      <c r="J118" s="2">
        <v>4</v>
      </c>
      <c r="K118" s="2">
        <v>4</v>
      </c>
      <c r="L118" s="2">
        <v>5</v>
      </c>
      <c r="M118" s="2">
        <v>5</v>
      </c>
      <c r="N118" s="2">
        <v>5</v>
      </c>
      <c r="O118" s="2">
        <v>5</v>
      </c>
      <c r="P118" s="2">
        <v>4</v>
      </c>
      <c r="Q118" s="2">
        <v>5</v>
      </c>
      <c r="R118" s="2">
        <v>4</v>
      </c>
      <c r="S118" s="2">
        <v>5</v>
      </c>
    </row>
    <row r="119" spans="1:19" ht="15" customHeight="1" x14ac:dyDescent="0.45">
      <c r="A119" s="4">
        <v>118</v>
      </c>
      <c r="B119" s="5" t="s">
        <v>19</v>
      </c>
      <c r="C119" s="5" t="s">
        <v>20</v>
      </c>
      <c r="D119" s="5" t="s">
        <v>27</v>
      </c>
      <c r="E119" s="5" t="s">
        <v>21</v>
      </c>
      <c r="F119" s="5" t="s">
        <v>28</v>
      </c>
      <c r="G119" s="5" t="s">
        <v>31</v>
      </c>
      <c r="H119" s="4">
        <v>4</v>
      </c>
      <c r="I119" s="4">
        <v>4</v>
      </c>
      <c r="J119" s="4">
        <v>3</v>
      </c>
      <c r="K119" s="4">
        <v>4</v>
      </c>
      <c r="L119" s="4">
        <v>4</v>
      </c>
      <c r="M119" s="4">
        <v>4</v>
      </c>
      <c r="N119" s="4">
        <v>2</v>
      </c>
      <c r="O119" s="4">
        <v>4</v>
      </c>
      <c r="P119" s="4">
        <v>3</v>
      </c>
      <c r="Q119" s="4">
        <v>4</v>
      </c>
      <c r="R119" s="4">
        <v>5</v>
      </c>
      <c r="S119" s="4">
        <v>5</v>
      </c>
    </row>
    <row r="120" spans="1:19" ht="15" customHeight="1" x14ac:dyDescent="0.45">
      <c r="A120" s="2">
        <v>119</v>
      </c>
      <c r="B120" s="3" t="s">
        <v>19</v>
      </c>
      <c r="C120" s="3" t="s">
        <v>20</v>
      </c>
      <c r="D120" s="3" t="s">
        <v>21</v>
      </c>
      <c r="E120" s="3" t="s">
        <v>21</v>
      </c>
      <c r="F120" s="3" t="s">
        <v>28</v>
      </c>
      <c r="G120" s="3" t="s">
        <v>40</v>
      </c>
      <c r="H120" s="2">
        <v>5</v>
      </c>
      <c r="I120" s="2">
        <v>4</v>
      </c>
      <c r="J120" s="2">
        <v>5</v>
      </c>
      <c r="K120" s="2">
        <v>4</v>
      </c>
      <c r="L120" s="2">
        <v>4</v>
      </c>
      <c r="M120" s="2">
        <v>4</v>
      </c>
      <c r="N120" s="2">
        <v>5</v>
      </c>
      <c r="O120" s="2">
        <v>5</v>
      </c>
      <c r="P120" s="2">
        <v>5</v>
      </c>
      <c r="Q120" s="2">
        <v>4</v>
      </c>
      <c r="R120" s="2">
        <v>5</v>
      </c>
      <c r="S120" s="2">
        <v>5</v>
      </c>
    </row>
    <row r="121" spans="1:19" ht="15" customHeight="1" x14ac:dyDescent="0.45">
      <c r="A121" s="4">
        <v>120</v>
      </c>
      <c r="B121" s="5" t="s">
        <v>19</v>
      </c>
      <c r="C121" s="5" t="s">
        <v>24</v>
      </c>
      <c r="D121" s="5" t="s">
        <v>21</v>
      </c>
      <c r="E121" s="5" t="s">
        <v>21</v>
      </c>
      <c r="F121" s="5" t="s">
        <v>30</v>
      </c>
      <c r="G121" s="5" t="s">
        <v>33</v>
      </c>
      <c r="H121" s="4">
        <v>5</v>
      </c>
      <c r="I121" s="4">
        <v>4</v>
      </c>
      <c r="J121" s="4">
        <v>4</v>
      </c>
      <c r="K121" s="4">
        <v>5</v>
      </c>
      <c r="L121" s="4">
        <v>5</v>
      </c>
      <c r="M121" s="4">
        <v>4</v>
      </c>
      <c r="N121" s="4">
        <v>5</v>
      </c>
      <c r="O121" s="4">
        <v>4</v>
      </c>
      <c r="P121" s="4">
        <v>5</v>
      </c>
      <c r="Q121" s="4">
        <v>5</v>
      </c>
      <c r="R121" s="4">
        <v>4</v>
      </c>
      <c r="S121" s="4">
        <v>5</v>
      </c>
    </row>
    <row r="122" spans="1:19" ht="15" customHeight="1" x14ac:dyDescent="0.45">
      <c r="A122" s="2">
        <v>121</v>
      </c>
      <c r="B122" s="3" t="s">
        <v>19</v>
      </c>
      <c r="C122" s="3" t="s">
        <v>20</v>
      </c>
      <c r="D122" s="3" t="s">
        <v>27</v>
      </c>
      <c r="E122" s="3" t="s">
        <v>21</v>
      </c>
      <c r="F122" s="3" t="s">
        <v>22</v>
      </c>
      <c r="G122" s="3" t="s">
        <v>23</v>
      </c>
      <c r="H122" s="2">
        <v>4</v>
      </c>
      <c r="I122" s="2">
        <v>4</v>
      </c>
      <c r="J122" s="2">
        <v>4</v>
      </c>
      <c r="K122" s="2">
        <v>5</v>
      </c>
      <c r="L122" s="2">
        <v>5</v>
      </c>
      <c r="M122" s="2">
        <v>4</v>
      </c>
      <c r="N122" s="2">
        <v>4</v>
      </c>
      <c r="O122" s="2">
        <v>5</v>
      </c>
      <c r="P122" s="2">
        <v>5</v>
      </c>
      <c r="Q122" s="2">
        <v>5</v>
      </c>
      <c r="R122" s="2">
        <v>5</v>
      </c>
      <c r="S122" s="2">
        <v>4</v>
      </c>
    </row>
    <row r="123" spans="1:19" ht="15" customHeight="1" x14ac:dyDescent="0.45">
      <c r="A123" s="4">
        <v>122</v>
      </c>
      <c r="B123" s="5" t="s">
        <v>19</v>
      </c>
      <c r="C123" s="5" t="s">
        <v>24</v>
      </c>
      <c r="D123" s="5" t="s">
        <v>21</v>
      </c>
      <c r="E123" s="5" t="s">
        <v>21</v>
      </c>
      <c r="F123" s="5" t="s">
        <v>30</v>
      </c>
      <c r="G123" s="5" t="s">
        <v>33</v>
      </c>
      <c r="H123" s="4">
        <v>4</v>
      </c>
      <c r="I123" s="4">
        <v>4</v>
      </c>
      <c r="J123" s="4">
        <v>5</v>
      </c>
      <c r="K123" s="4">
        <v>5</v>
      </c>
      <c r="L123" s="4">
        <v>5</v>
      </c>
      <c r="M123" s="4">
        <v>4</v>
      </c>
      <c r="N123" s="4">
        <v>5</v>
      </c>
      <c r="O123" s="4">
        <v>5</v>
      </c>
      <c r="P123" s="4">
        <v>5</v>
      </c>
      <c r="Q123" s="4">
        <v>5</v>
      </c>
      <c r="R123" s="4">
        <v>5</v>
      </c>
      <c r="S123" s="4">
        <v>5</v>
      </c>
    </row>
    <row r="124" spans="1:19" ht="15" customHeight="1" x14ac:dyDescent="0.45">
      <c r="A124" s="2">
        <v>123</v>
      </c>
      <c r="B124" s="3" t="s">
        <v>19</v>
      </c>
      <c r="C124" s="3" t="s">
        <v>20</v>
      </c>
      <c r="D124" s="3" t="s">
        <v>21</v>
      </c>
      <c r="E124" s="3" t="s">
        <v>21</v>
      </c>
      <c r="F124" s="3" t="s">
        <v>28</v>
      </c>
      <c r="G124" s="3" t="s">
        <v>38</v>
      </c>
      <c r="H124" s="2">
        <v>4</v>
      </c>
      <c r="I124" s="2">
        <v>4</v>
      </c>
      <c r="J124" s="2">
        <v>4</v>
      </c>
      <c r="K124" s="2">
        <v>4</v>
      </c>
      <c r="L124" s="2">
        <v>4</v>
      </c>
      <c r="M124" s="2">
        <v>3</v>
      </c>
      <c r="N124" s="2">
        <v>3</v>
      </c>
      <c r="O124" s="2">
        <v>3</v>
      </c>
      <c r="P124" s="2">
        <v>3</v>
      </c>
      <c r="Q124" s="2">
        <v>4</v>
      </c>
      <c r="R124" s="2">
        <v>4</v>
      </c>
      <c r="S124" s="2">
        <v>4</v>
      </c>
    </row>
    <row r="125" spans="1:19" ht="15" customHeight="1" x14ac:dyDescent="0.45">
      <c r="A125" s="4">
        <v>124</v>
      </c>
      <c r="B125" s="5" t="s">
        <v>19</v>
      </c>
      <c r="C125" s="5" t="s">
        <v>20</v>
      </c>
      <c r="D125" s="5" t="s">
        <v>21</v>
      </c>
      <c r="E125" s="5" t="s">
        <v>21</v>
      </c>
      <c r="F125" s="5" t="s">
        <v>28</v>
      </c>
      <c r="G125" s="5" t="s">
        <v>29</v>
      </c>
      <c r="H125" s="4">
        <v>5</v>
      </c>
      <c r="I125" s="4">
        <v>4</v>
      </c>
      <c r="J125" s="4">
        <v>4</v>
      </c>
      <c r="K125" s="4">
        <v>4</v>
      </c>
      <c r="L125" s="4">
        <v>5</v>
      </c>
      <c r="M125" s="4">
        <v>4</v>
      </c>
      <c r="N125" s="4">
        <v>5</v>
      </c>
      <c r="O125" s="4">
        <v>4</v>
      </c>
      <c r="P125" s="4">
        <v>5</v>
      </c>
      <c r="Q125" s="4">
        <v>4</v>
      </c>
      <c r="R125" s="4">
        <v>5</v>
      </c>
      <c r="S125" s="4">
        <v>5</v>
      </c>
    </row>
    <row r="126" spans="1:19" ht="15" customHeight="1" x14ac:dyDescent="0.45">
      <c r="A126" s="2">
        <v>125</v>
      </c>
      <c r="B126" s="3" t="s">
        <v>19</v>
      </c>
      <c r="C126" s="3" t="s">
        <v>24</v>
      </c>
      <c r="D126" s="3" t="s">
        <v>21</v>
      </c>
      <c r="E126" s="3" t="s">
        <v>21</v>
      </c>
      <c r="F126" s="3" t="s">
        <v>22</v>
      </c>
      <c r="G126" s="3" t="s">
        <v>34</v>
      </c>
      <c r="H126" s="2">
        <v>4</v>
      </c>
      <c r="I126" s="2">
        <v>4</v>
      </c>
      <c r="J126" s="2">
        <v>4</v>
      </c>
      <c r="K126" s="2">
        <v>4</v>
      </c>
      <c r="L126" s="2">
        <v>5</v>
      </c>
      <c r="M126" s="2">
        <v>4</v>
      </c>
      <c r="N126" s="2">
        <v>4</v>
      </c>
      <c r="O126" s="2">
        <v>4</v>
      </c>
      <c r="P126" s="2">
        <v>5</v>
      </c>
      <c r="Q126" s="2">
        <v>4</v>
      </c>
      <c r="R126" s="2">
        <v>5</v>
      </c>
      <c r="S126" s="2">
        <v>4</v>
      </c>
    </row>
    <row r="127" spans="1:19" ht="15" customHeight="1" x14ac:dyDescent="0.45">
      <c r="A127" s="4">
        <v>126</v>
      </c>
      <c r="B127" s="5" t="s">
        <v>19</v>
      </c>
      <c r="C127" s="5" t="s">
        <v>20</v>
      </c>
      <c r="D127" s="5" t="s">
        <v>21</v>
      </c>
      <c r="E127" s="5" t="s">
        <v>21</v>
      </c>
      <c r="F127" s="5" t="s">
        <v>28</v>
      </c>
      <c r="G127" s="5" t="s">
        <v>37</v>
      </c>
      <c r="H127" s="4">
        <v>4</v>
      </c>
      <c r="I127" s="4">
        <v>4</v>
      </c>
      <c r="J127" s="4">
        <v>3</v>
      </c>
      <c r="K127" s="4">
        <v>4</v>
      </c>
      <c r="L127" s="4">
        <v>4</v>
      </c>
      <c r="M127" s="4">
        <v>5</v>
      </c>
      <c r="N127" s="4">
        <v>5</v>
      </c>
      <c r="O127" s="4">
        <v>5</v>
      </c>
      <c r="P127" s="4">
        <v>4</v>
      </c>
      <c r="Q127" s="4">
        <v>5</v>
      </c>
      <c r="R127" s="4">
        <v>5</v>
      </c>
      <c r="S127" s="4">
        <v>4</v>
      </c>
    </row>
    <row r="128" spans="1:19" ht="15" customHeight="1" x14ac:dyDescent="0.45">
      <c r="A128" s="2">
        <v>127</v>
      </c>
      <c r="B128" s="3" t="s">
        <v>26</v>
      </c>
      <c r="C128" s="3" t="s">
        <v>20</v>
      </c>
      <c r="D128" s="3" t="s">
        <v>27</v>
      </c>
      <c r="E128" s="3" t="s">
        <v>21</v>
      </c>
      <c r="F128" s="3" t="s">
        <v>22</v>
      </c>
      <c r="G128" s="3" t="s">
        <v>23</v>
      </c>
      <c r="H128" s="2">
        <v>4</v>
      </c>
      <c r="I128" s="2">
        <v>5</v>
      </c>
      <c r="J128" s="2">
        <v>5</v>
      </c>
      <c r="K128" s="2">
        <v>3</v>
      </c>
      <c r="L128" s="2">
        <v>4</v>
      </c>
      <c r="M128" s="2">
        <v>4</v>
      </c>
      <c r="N128" s="2">
        <v>5</v>
      </c>
      <c r="O128" s="2">
        <v>4</v>
      </c>
      <c r="P128" s="2">
        <v>5</v>
      </c>
      <c r="Q128" s="2">
        <v>5</v>
      </c>
      <c r="R128" s="2">
        <v>4</v>
      </c>
      <c r="S128" s="2">
        <v>5</v>
      </c>
    </row>
    <row r="129" spans="1:19" ht="15" customHeight="1" x14ac:dyDescent="0.45">
      <c r="A129" s="4">
        <v>128</v>
      </c>
      <c r="B129" s="5" t="s">
        <v>19</v>
      </c>
      <c r="C129" s="5" t="s">
        <v>20</v>
      </c>
      <c r="D129" s="5" t="s">
        <v>21</v>
      </c>
      <c r="E129" s="5" t="s">
        <v>21</v>
      </c>
      <c r="F129" s="5" t="s">
        <v>28</v>
      </c>
      <c r="G129" s="5" t="s">
        <v>31</v>
      </c>
      <c r="H129" s="4">
        <v>5</v>
      </c>
      <c r="I129" s="4">
        <v>4</v>
      </c>
      <c r="J129" s="4">
        <v>5</v>
      </c>
      <c r="K129" s="4">
        <v>4</v>
      </c>
      <c r="L129" s="4">
        <v>5</v>
      </c>
      <c r="M129" s="4">
        <v>4</v>
      </c>
      <c r="N129" s="4">
        <v>2</v>
      </c>
      <c r="O129" s="4">
        <v>3</v>
      </c>
      <c r="P129" s="4">
        <v>5</v>
      </c>
      <c r="Q129" s="4">
        <v>4</v>
      </c>
      <c r="R129" s="4">
        <v>5</v>
      </c>
      <c r="S129" s="4">
        <v>4</v>
      </c>
    </row>
    <row r="130" spans="1:19" ht="15" customHeight="1" x14ac:dyDescent="0.45">
      <c r="A130" s="2">
        <v>129</v>
      </c>
      <c r="B130" s="3" t="s">
        <v>19</v>
      </c>
      <c r="C130" s="3" t="s">
        <v>20</v>
      </c>
      <c r="D130" s="3" t="s">
        <v>21</v>
      </c>
      <c r="E130" s="3" t="s">
        <v>21</v>
      </c>
      <c r="F130" s="3" t="s">
        <v>28</v>
      </c>
      <c r="G130" s="3" t="s">
        <v>40</v>
      </c>
      <c r="H130" s="2">
        <v>4</v>
      </c>
      <c r="I130" s="2">
        <v>4</v>
      </c>
      <c r="J130" s="2">
        <v>5</v>
      </c>
      <c r="K130" s="2">
        <v>5</v>
      </c>
      <c r="L130" s="2">
        <v>5</v>
      </c>
      <c r="M130" s="2">
        <v>4</v>
      </c>
      <c r="N130" s="2">
        <v>5</v>
      </c>
      <c r="O130" s="2">
        <v>4</v>
      </c>
      <c r="P130" s="2">
        <v>5</v>
      </c>
      <c r="Q130" s="2">
        <v>4</v>
      </c>
      <c r="R130" s="2">
        <v>5</v>
      </c>
      <c r="S130" s="2">
        <v>5</v>
      </c>
    </row>
    <row r="131" spans="1:19" ht="15" customHeight="1" x14ac:dyDescent="0.45">
      <c r="A131" s="4">
        <v>130</v>
      </c>
      <c r="B131" s="5" t="s">
        <v>19</v>
      </c>
      <c r="C131" s="5" t="s">
        <v>20</v>
      </c>
      <c r="D131" s="5" t="s">
        <v>21</v>
      </c>
      <c r="E131" s="5" t="s">
        <v>21</v>
      </c>
      <c r="F131" s="5" t="s">
        <v>22</v>
      </c>
      <c r="G131" s="5" t="s">
        <v>29</v>
      </c>
      <c r="H131" s="4">
        <v>4</v>
      </c>
      <c r="I131" s="4">
        <v>4</v>
      </c>
      <c r="J131" s="4">
        <v>4</v>
      </c>
      <c r="K131" s="4">
        <v>5</v>
      </c>
      <c r="L131" s="4">
        <v>5</v>
      </c>
      <c r="M131" s="4">
        <v>4</v>
      </c>
      <c r="N131" s="4">
        <v>5</v>
      </c>
      <c r="O131" s="4">
        <v>5</v>
      </c>
      <c r="P131" s="4">
        <v>5</v>
      </c>
      <c r="Q131" s="4">
        <v>4</v>
      </c>
      <c r="R131" s="4">
        <v>4</v>
      </c>
      <c r="S131" s="4">
        <v>5</v>
      </c>
    </row>
    <row r="132" spans="1:19" ht="15" customHeight="1" x14ac:dyDescent="0.45">
      <c r="A132" s="2">
        <v>131</v>
      </c>
      <c r="B132" s="3" t="s">
        <v>19</v>
      </c>
      <c r="C132" s="3" t="s">
        <v>20</v>
      </c>
      <c r="D132" s="3" t="s">
        <v>21</v>
      </c>
      <c r="E132" s="3" t="s">
        <v>21</v>
      </c>
      <c r="F132" s="3" t="s">
        <v>30</v>
      </c>
      <c r="G132" s="3" t="s">
        <v>23</v>
      </c>
      <c r="H132" s="2">
        <v>5</v>
      </c>
      <c r="I132" s="2">
        <v>5</v>
      </c>
      <c r="J132" s="2">
        <v>4</v>
      </c>
      <c r="K132" s="2">
        <v>2</v>
      </c>
      <c r="L132" s="2">
        <v>4</v>
      </c>
      <c r="M132" s="2">
        <v>4</v>
      </c>
      <c r="N132" s="2">
        <v>5</v>
      </c>
      <c r="O132" s="2">
        <v>5</v>
      </c>
      <c r="P132" s="2">
        <v>5</v>
      </c>
      <c r="Q132" s="2">
        <v>5</v>
      </c>
      <c r="R132" s="2">
        <v>5</v>
      </c>
      <c r="S132" s="2">
        <v>5</v>
      </c>
    </row>
    <row r="133" spans="1:19" ht="15" customHeight="1" x14ac:dyDescent="0.45">
      <c r="A133" s="4">
        <v>132</v>
      </c>
      <c r="B133" s="5" t="s">
        <v>26</v>
      </c>
      <c r="C133" s="5" t="s">
        <v>24</v>
      </c>
      <c r="D133" s="5" t="s">
        <v>27</v>
      </c>
      <c r="E133" s="5" t="s">
        <v>21</v>
      </c>
      <c r="F133" s="5" t="s">
        <v>28</v>
      </c>
      <c r="G133" s="5" t="s">
        <v>32</v>
      </c>
      <c r="H133" s="4">
        <v>4</v>
      </c>
      <c r="I133" s="4">
        <v>3</v>
      </c>
      <c r="J133" s="4">
        <v>5</v>
      </c>
      <c r="K133" s="4">
        <v>5</v>
      </c>
      <c r="L133" s="4">
        <v>4</v>
      </c>
      <c r="M133" s="4">
        <v>5</v>
      </c>
      <c r="N133" s="4">
        <v>5</v>
      </c>
      <c r="O133" s="4">
        <v>5</v>
      </c>
      <c r="P133" s="4">
        <v>4</v>
      </c>
      <c r="Q133" s="4">
        <v>5</v>
      </c>
      <c r="R133" s="4">
        <v>4</v>
      </c>
      <c r="S133" s="4">
        <v>4</v>
      </c>
    </row>
    <row r="134" spans="1:19" ht="15" customHeight="1" x14ac:dyDescent="0.45">
      <c r="A134" s="2">
        <v>133</v>
      </c>
      <c r="B134" s="3" t="s">
        <v>19</v>
      </c>
      <c r="C134" s="3" t="s">
        <v>24</v>
      </c>
      <c r="D134" s="3" t="s">
        <v>21</v>
      </c>
      <c r="E134" s="3" t="s">
        <v>21</v>
      </c>
      <c r="F134" s="3" t="s">
        <v>28</v>
      </c>
      <c r="G134" s="3" t="s">
        <v>25</v>
      </c>
      <c r="H134" s="2">
        <v>4</v>
      </c>
      <c r="I134" s="2">
        <v>4</v>
      </c>
      <c r="J134" s="2">
        <v>4</v>
      </c>
      <c r="K134" s="2">
        <v>4</v>
      </c>
      <c r="L134" s="2">
        <v>4</v>
      </c>
      <c r="M134" s="2">
        <v>4</v>
      </c>
      <c r="N134" s="2">
        <v>4</v>
      </c>
      <c r="O134" s="2">
        <v>3</v>
      </c>
      <c r="P134" s="2">
        <v>5</v>
      </c>
      <c r="Q134" s="2">
        <v>4</v>
      </c>
      <c r="R134" s="2">
        <v>5</v>
      </c>
      <c r="S134" s="2">
        <v>4</v>
      </c>
    </row>
    <row r="135" spans="1:19" ht="15" customHeight="1" x14ac:dyDescent="0.45">
      <c r="A135" s="4">
        <v>134</v>
      </c>
      <c r="B135" s="5" t="s">
        <v>19</v>
      </c>
      <c r="C135" s="5" t="s">
        <v>20</v>
      </c>
      <c r="D135" s="5" t="s">
        <v>21</v>
      </c>
      <c r="E135" s="5" t="s">
        <v>21</v>
      </c>
      <c r="F135" s="5" t="s">
        <v>43</v>
      </c>
      <c r="G135" s="5" t="s">
        <v>31</v>
      </c>
      <c r="H135" s="4">
        <v>5</v>
      </c>
      <c r="I135" s="4">
        <v>5</v>
      </c>
      <c r="J135" s="4">
        <v>3</v>
      </c>
      <c r="K135" s="4">
        <v>5</v>
      </c>
      <c r="L135" s="4">
        <v>4</v>
      </c>
      <c r="M135" s="4">
        <v>4</v>
      </c>
      <c r="N135" s="4">
        <v>3</v>
      </c>
      <c r="O135" s="4">
        <v>4</v>
      </c>
      <c r="P135" s="4">
        <v>3</v>
      </c>
      <c r="Q135" s="4">
        <v>4</v>
      </c>
      <c r="R135" s="4">
        <v>5</v>
      </c>
      <c r="S135" s="4">
        <v>4</v>
      </c>
    </row>
    <row r="136" spans="1:19" ht="15" customHeight="1" x14ac:dyDescent="0.45">
      <c r="A136" s="2">
        <v>135</v>
      </c>
      <c r="B136" s="3" t="s">
        <v>19</v>
      </c>
      <c r="C136" s="3" t="s">
        <v>20</v>
      </c>
      <c r="D136" s="3" t="s">
        <v>21</v>
      </c>
      <c r="E136" s="3" t="s">
        <v>21</v>
      </c>
      <c r="F136" s="3" t="s">
        <v>28</v>
      </c>
      <c r="G136" s="3" t="s">
        <v>32</v>
      </c>
      <c r="H136" s="2">
        <v>4</v>
      </c>
      <c r="I136" s="2">
        <v>3</v>
      </c>
      <c r="J136" s="2">
        <v>4</v>
      </c>
      <c r="K136" s="2">
        <v>3</v>
      </c>
      <c r="L136" s="2">
        <v>5</v>
      </c>
      <c r="M136" s="2">
        <v>5</v>
      </c>
      <c r="N136" s="2">
        <v>5</v>
      </c>
      <c r="O136" s="2">
        <v>4</v>
      </c>
      <c r="P136" s="2">
        <v>4</v>
      </c>
      <c r="Q136" s="2">
        <v>5</v>
      </c>
      <c r="R136" s="2">
        <v>5</v>
      </c>
      <c r="S136" s="2">
        <v>3</v>
      </c>
    </row>
    <row r="137" spans="1:19" ht="15" customHeight="1" x14ac:dyDescent="0.45">
      <c r="A137" s="4">
        <v>136</v>
      </c>
      <c r="B137" s="5" t="s">
        <v>19</v>
      </c>
      <c r="C137" s="5" t="s">
        <v>24</v>
      </c>
      <c r="D137" s="5" t="s">
        <v>27</v>
      </c>
      <c r="E137" s="5" t="s">
        <v>21</v>
      </c>
      <c r="F137" s="5" t="s">
        <v>22</v>
      </c>
      <c r="G137" s="5" t="s">
        <v>42</v>
      </c>
      <c r="H137" s="4">
        <v>4</v>
      </c>
      <c r="I137" s="4">
        <v>4</v>
      </c>
      <c r="J137" s="4">
        <v>5</v>
      </c>
      <c r="K137" s="4">
        <v>3</v>
      </c>
      <c r="L137" s="4">
        <v>5</v>
      </c>
      <c r="M137" s="4">
        <v>5</v>
      </c>
      <c r="N137" s="4">
        <v>5</v>
      </c>
      <c r="O137" s="4">
        <v>5</v>
      </c>
      <c r="P137" s="4">
        <v>4</v>
      </c>
      <c r="Q137" s="4">
        <v>4</v>
      </c>
      <c r="R137" s="4">
        <v>5</v>
      </c>
      <c r="S137" s="4">
        <v>5</v>
      </c>
    </row>
    <row r="138" spans="1:19" ht="15" customHeight="1" x14ac:dyDescent="0.45">
      <c r="A138" s="2">
        <v>137</v>
      </c>
      <c r="B138" s="3" t="s">
        <v>26</v>
      </c>
      <c r="C138" s="3" t="s">
        <v>20</v>
      </c>
      <c r="D138" s="3" t="s">
        <v>27</v>
      </c>
      <c r="E138" s="3" t="s">
        <v>21</v>
      </c>
      <c r="F138" s="3" t="s">
        <v>28</v>
      </c>
      <c r="G138" s="3" t="s">
        <v>25</v>
      </c>
      <c r="H138" s="2">
        <v>5</v>
      </c>
      <c r="I138" s="2">
        <v>4</v>
      </c>
      <c r="J138" s="2">
        <v>5</v>
      </c>
      <c r="K138" s="2">
        <v>3</v>
      </c>
      <c r="L138" s="2">
        <v>4</v>
      </c>
      <c r="M138" s="2">
        <v>4</v>
      </c>
      <c r="N138" s="2">
        <v>3</v>
      </c>
      <c r="O138" s="2">
        <v>4</v>
      </c>
      <c r="P138" s="2">
        <v>5</v>
      </c>
      <c r="Q138" s="2">
        <v>4</v>
      </c>
      <c r="R138" s="2">
        <v>5</v>
      </c>
      <c r="S138" s="2">
        <v>4</v>
      </c>
    </row>
    <row r="139" spans="1:19" ht="15" customHeight="1" x14ac:dyDescent="0.45">
      <c r="A139" s="4">
        <v>138</v>
      </c>
      <c r="B139" s="5" t="s">
        <v>19</v>
      </c>
      <c r="C139" s="5" t="s">
        <v>20</v>
      </c>
      <c r="D139" s="5" t="s">
        <v>21</v>
      </c>
      <c r="E139" s="5" t="s">
        <v>21</v>
      </c>
      <c r="F139" s="5" t="s">
        <v>28</v>
      </c>
      <c r="G139" s="5" t="s">
        <v>23</v>
      </c>
      <c r="H139" s="4">
        <v>5</v>
      </c>
      <c r="I139" s="4">
        <v>5</v>
      </c>
      <c r="J139" s="4">
        <v>4</v>
      </c>
      <c r="K139" s="4">
        <v>4</v>
      </c>
      <c r="L139" s="4">
        <v>4</v>
      </c>
      <c r="M139" s="4">
        <v>5</v>
      </c>
      <c r="N139" s="4">
        <v>5</v>
      </c>
      <c r="O139" s="4">
        <v>5</v>
      </c>
      <c r="P139" s="4">
        <v>5</v>
      </c>
      <c r="Q139" s="4">
        <v>4</v>
      </c>
      <c r="R139" s="4">
        <v>5</v>
      </c>
      <c r="S139" s="4">
        <v>4</v>
      </c>
    </row>
    <row r="140" spans="1:19" ht="15" customHeight="1" x14ac:dyDescent="0.45">
      <c r="A140" s="2">
        <v>139</v>
      </c>
      <c r="B140" s="3" t="s">
        <v>19</v>
      </c>
      <c r="C140" s="3" t="s">
        <v>20</v>
      </c>
      <c r="D140" s="3" t="s">
        <v>27</v>
      </c>
      <c r="E140" s="3" t="s">
        <v>21</v>
      </c>
      <c r="F140" s="3" t="s">
        <v>22</v>
      </c>
      <c r="G140" s="3" t="s">
        <v>40</v>
      </c>
      <c r="H140" s="2">
        <v>4</v>
      </c>
      <c r="I140" s="2">
        <v>5</v>
      </c>
      <c r="J140" s="2">
        <v>5</v>
      </c>
      <c r="K140" s="2">
        <v>5</v>
      </c>
      <c r="L140" s="2">
        <v>5</v>
      </c>
      <c r="M140" s="2">
        <v>4</v>
      </c>
      <c r="N140" s="2">
        <v>5</v>
      </c>
      <c r="O140" s="2">
        <v>5</v>
      </c>
      <c r="P140" s="2">
        <v>5</v>
      </c>
      <c r="Q140" s="2">
        <v>5</v>
      </c>
      <c r="R140" s="2">
        <v>4</v>
      </c>
      <c r="S140" s="2">
        <v>5</v>
      </c>
    </row>
    <row r="141" spans="1:19" ht="15" customHeight="1" x14ac:dyDescent="0.45">
      <c r="A141" s="4">
        <v>140</v>
      </c>
      <c r="B141" s="5" t="s">
        <v>19</v>
      </c>
      <c r="C141" s="5" t="s">
        <v>20</v>
      </c>
      <c r="D141" s="5" t="s">
        <v>27</v>
      </c>
      <c r="E141" s="5" t="s">
        <v>21</v>
      </c>
      <c r="F141" s="5" t="s">
        <v>22</v>
      </c>
      <c r="G141" s="5" t="s">
        <v>36</v>
      </c>
      <c r="H141" s="4">
        <v>4</v>
      </c>
      <c r="I141" s="4">
        <v>4</v>
      </c>
      <c r="J141" s="4">
        <v>5</v>
      </c>
      <c r="K141" s="4">
        <v>3</v>
      </c>
      <c r="L141" s="4">
        <v>5</v>
      </c>
      <c r="M141" s="4">
        <v>4</v>
      </c>
      <c r="N141" s="4">
        <v>4</v>
      </c>
      <c r="O141" s="4">
        <v>5</v>
      </c>
      <c r="P141" s="4">
        <v>4</v>
      </c>
      <c r="Q141" s="4">
        <v>4</v>
      </c>
      <c r="R141" s="4">
        <v>5</v>
      </c>
      <c r="S141" s="4">
        <v>4</v>
      </c>
    </row>
    <row r="142" spans="1:19" ht="15" customHeight="1" x14ac:dyDescent="0.45">
      <c r="A142" s="2">
        <v>141</v>
      </c>
      <c r="B142" s="3" t="s">
        <v>41</v>
      </c>
      <c r="C142" s="3" t="s">
        <v>24</v>
      </c>
      <c r="D142" s="3" t="s">
        <v>27</v>
      </c>
      <c r="E142" s="3" t="s">
        <v>21</v>
      </c>
      <c r="F142" s="3" t="s">
        <v>28</v>
      </c>
      <c r="G142" s="3" t="s">
        <v>31</v>
      </c>
      <c r="H142" s="2">
        <v>3</v>
      </c>
      <c r="I142" s="2">
        <v>3</v>
      </c>
      <c r="J142" s="2">
        <v>3</v>
      </c>
      <c r="K142" s="2">
        <v>3</v>
      </c>
      <c r="L142" s="2">
        <v>5</v>
      </c>
      <c r="M142" s="2">
        <v>4</v>
      </c>
      <c r="N142" s="2">
        <v>4</v>
      </c>
      <c r="O142" s="2">
        <v>4</v>
      </c>
      <c r="P142" s="2">
        <v>3</v>
      </c>
      <c r="Q142" s="2">
        <v>4</v>
      </c>
      <c r="R142" s="2">
        <v>4</v>
      </c>
      <c r="S142" s="2">
        <v>3</v>
      </c>
    </row>
    <row r="143" spans="1:19" ht="15" customHeight="1" x14ac:dyDescent="0.45">
      <c r="A143" s="4">
        <v>142</v>
      </c>
      <c r="B143" s="5" t="s">
        <v>19</v>
      </c>
      <c r="C143" s="5" t="s">
        <v>20</v>
      </c>
      <c r="D143" s="5" t="s">
        <v>21</v>
      </c>
      <c r="E143" s="5" t="s">
        <v>21</v>
      </c>
      <c r="F143" s="5" t="s">
        <v>28</v>
      </c>
      <c r="G143" s="5" t="s">
        <v>25</v>
      </c>
      <c r="H143" s="4">
        <v>4</v>
      </c>
      <c r="I143" s="4">
        <v>4</v>
      </c>
      <c r="J143" s="4">
        <v>4</v>
      </c>
      <c r="K143" s="4">
        <v>3</v>
      </c>
      <c r="L143" s="4">
        <v>5</v>
      </c>
      <c r="M143" s="4">
        <v>5</v>
      </c>
      <c r="N143" s="4">
        <v>2</v>
      </c>
      <c r="O143" s="4">
        <v>4</v>
      </c>
      <c r="P143" s="4">
        <v>5</v>
      </c>
      <c r="Q143" s="4">
        <v>4</v>
      </c>
      <c r="R143" s="4">
        <v>4</v>
      </c>
      <c r="S143" s="4">
        <v>4</v>
      </c>
    </row>
    <row r="144" spans="1:19" ht="15" customHeight="1" x14ac:dyDescent="0.45">
      <c r="A144" s="2">
        <v>143</v>
      </c>
      <c r="B144" s="3" t="s">
        <v>35</v>
      </c>
      <c r="C144" s="3" t="s">
        <v>20</v>
      </c>
      <c r="D144" s="3" t="s">
        <v>27</v>
      </c>
      <c r="E144" s="3" t="s">
        <v>21</v>
      </c>
      <c r="F144" s="3" t="s">
        <v>22</v>
      </c>
      <c r="G144" s="3" t="s">
        <v>23</v>
      </c>
      <c r="H144" s="2">
        <v>4</v>
      </c>
      <c r="I144" s="2">
        <v>5</v>
      </c>
      <c r="J144" s="2">
        <v>5</v>
      </c>
      <c r="K144" s="2">
        <v>4</v>
      </c>
      <c r="L144" s="2">
        <v>4</v>
      </c>
      <c r="M144" s="2">
        <v>4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4</v>
      </c>
    </row>
    <row r="145" spans="1:19" ht="15" customHeight="1" x14ac:dyDescent="0.45">
      <c r="A145" s="4">
        <v>144</v>
      </c>
      <c r="B145" s="5" t="s">
        <v>19</v>
      </c>
      <c r="C145" s="5" t="s">
        <v>20</v>
      </c>
      <c r="D145" s="5" t="s">
        <v>21</v>
      </c>
      <c r="E145" s="5" t="s">
        <v>21</v>
      </c>
      <c r="F145" s="5" t="s">
        <v>22</v>
      </c>
      <c r="G145" s="5" t="s">
        <v>32</v>
      </c>
      <c r="H145" s="4">
        <v>4</v>
      </c>
      <c r="I145" s="4">
        <v>4</v>
      </c>
      <c r="J145" s="4">
        <v>5</v>
      </c>
      <c r="K145" s="4">
        <v>3</v>
      </c>
      <c r="L145" s="4">
        <v>5</v>
      </c>
      <c r="M145" s="4">
        <v>4</v>
      </c>
      <c r="N145" s="4">
        <v>4</v>
      </c>
      <c r="O145" s="4">
        <v>4</v>
      </c>
      <c r="P145" s="4">
        <v>5</v>
      </c>
      <c r="Q145" s="4">
        <v>5</v>
      </c>
      <c r="R145" s="4">
        <v>5</v>
      </c>
      <c r="S145" s="4">
        <v>5</v>
      </c>
    </row>
    <row r="146" spans="1:19" ht="15" customHeight="1" x14ac:dyDescent="0.45">
      <c r="A146" s="2">
        <v>145</v>
      </c>
      <c r="B146" s="3" t="s">
        <v>19</v>
      </c>
      <c r="C146" s="3" t="s">
        <v>24</v>
      </c>
      <c r="D146" s="3" t="s">
        <v>21</v>
      </c>
      <c r="E146" s="3" t="s">
        <v>21</v>
      </c>
      <c r="F146" s="3" t="s">
        <v>28</v>
      </c>
      <c r="G146" s="3" t="s">
        <v>32</v>
      </c>
      <c r="H146" s="2">
        <v>4</v>
      </c>
      <c r="I146" s="2">
        <v>5</v>
      </c>
      <c r="J146" s="2">
        <v>4</v>
      </c>
      <c r="K146" s="2">
        <v>3</v>
      </c>
      <c r="L146" s="2">
        <v>5</v>
      </c>
      <c r="M146" s="2">
        <v>4</v>
      </c>
      <c r="N146" s="2">
        <v>3</v>
      </c>
      <c r="O146" s="2">
        <v>4</v>
      </c>
      <c r="P146" s="2">
        <v>4</v>
      </c>
      <c r="Q146" s="2">
        <v>4</v>
      </c>
      <c r="R146" s="2">
        <v>4</v>
      </c>
      <c r="S146" s="2">
        <v>3</v>
      </c>
    </row>
    <row r="147" spans="1:19" ht="15" customHeight="1" x14ac:dyDescent="0.45">
      <c r="A147" s="4">
        <v>146</v>
      </c>
      <c r="B147" s="5" t="s">
        <v>26</v>
      </c>
      <c r="C147" s="5" t="s">
        <v>20</v>
      </c>
      <c r="D147" s="5" t="s">
        <v>27</v>
      </c>
      <c r="E147" s="5" t="s">
        <v>21</v>
      </c>
      <c r="F147" s="5" t="s">
        <v>28</v>
      </c>
      <c r="G147" s="5" t="s">
        <v>33</v>
      </c>
      <c r="H147" s="4">
        <v>5</v>
      </c>
      <c r="I147" s="4">
        <v>4</v>
      </c>
      <c r="J147" s="4">
        <v>5</v>
      </c>
      <c r="K147" s="4">
        <v>4</v>
      </c>
      <c r="L147" s="4">
        <v>5</v>
      </c>
      <c r="M147" s="4">
        <v>4</v>
      </c>
      <c r="N147" s="4">
        <v>5</v>
      </c>
      <c r="O147" s="4">
        <v>4</v>
      </c>
      <c r="P147" s="4">
        <v>5</v>
      </c>
      <c r="Q147" s="4">
        <v>4</v>
      </c>
      <c r="R147" s="4">
        <v>5</v>
      </c>
      <c r="S147" s="4">
        <v>4</v>
      </c>
    </row>
    <row r="148" spans="1:19" ht="15" customHeight="1" x14ac:dyDescent="0.45">
      <c r="A148" s="2">
        <v>147</v>
      </c>
      <c r="B148" s="3" t="s">
        <v>41</v>
      </c>
      <c r="C148" s="3" t="s">
        <v>20</v>
      </c>
      <c r="D148" s="3" t="s">
        <v>27</v>
      </c>
      <c r="E148" s="3" t="s">
        <v>21</v>
      </c>
      <c r="F148" s="3" t="s">
        <v>28</v>
      </c>
      <c r="G148" s="3" t="s">
        <v>34</v>
      </c>
      <c r="H148" s="2">
        <v>5</v>
      </c>
      <c r="I148" s="2">
        <v>4</v>
      </c>
      <c r="J148" s="2">
        <v>5</v>
      </c>
      <c r="K148" s="2">
        <v>5</v>
      </c>
      <c r="L148" s="2">
        <v>5</v>
      </c>
      <c r="M148" s="2">
        <v>4</v>
      </c>
      <c r="N148" s="2">
        <v>5</v>
      </c>
      <c r="O148" s="2">
        <v>4</v>
      </c>
      <c r="P148" s="2">
        <v>5</v>
      </c>
      <c r="Q148" s="2">
        <v>4</v>
      </c>
      <c r="R148" s="2">
        <v>5</v>
      </c>
      <c r="S148" s="2">
        <v>5</v>
      </c>
    </row>
    <row r="149" spans="1:19" ht="15" customHeight="1" x14ac:dyDescent="0.45">
      <c r="A149" s="4">
        <v>148</v>
      </c>
      <c r="B149" s="5" t="s">
        <v>19</v>
      </c>
      <c r="C149" s="5" t="s">
        <v>24</v>
      </c>
      <c r="D149" s="5" t="s">
        <v>21</v>
      </c>
      <c r="E149" s="5" t="s">
        <v>21</v>
      </c>
      <c r="F149" s="5" t="s">
        <v>30</v>
      </c>
      <c r="G149" s="5" t="s">
        <v>25</v>
      </c>
      <c r="H149" s="4">
        <v>4</v>
      </c>
      <c r="I149" s="4">
        <v>4</v>
      </c>
      <c r="J149" s="4">
        <v>4</v>
      </c>
      <c r="K149" s="4">
        <v>4</v>
      </c>
      <c r="L149" s="4">
        <v>5</v>
      </c>
      <c r="M149" s="4">
        <v>5</v>
      </c>
      <c r="N149" s="4">
        <v>4</v>
      </c>
      <c r="O149" s="4">
        <v>3</v>
      </c>
      <c r="P149" s="4">
        <v>5</v>
      </c>
      <c r="Q149" s="4">
        <v>4</v>
      </c>
      <c r="R149" s="4">
        <v>5</v>
      </c>
      <c r="S149" s="4">
        <v>4</v>
      </c>
    </row>
    <row r="150" spans="1:19" ht="15" customHeight="1" x14ac:dyDescent="0.45">
      <c r="A150" s="2">
        <v>149</v>
      </c>
      <c r="B150" s="3" t="s">
        <v>19</v>
      </c>
      <c r="C150" s="3" t="s">
        <v>20</v>
      </c>
      <c r="D150" s="3" t="s">
        <v>21</v>
      </c>
      <c r="E150" s="3" t="s">
        <v>21</v>
      </c>
      <c r="F150" s="3" t="s">
        <v>28</v>
      </c>
      <c r="G150" s="3" t="s">
        <v>31</v>
      </c>
      <c r="H150" s="2">
        <v>4</v>
      </c>
      <c r="I150" s="2">
        <v>5</v>
      </c>
      <c r="J150" s="2">
        <v>3</v>
      </c>
      <c r="K150" s="2">
        <v>4</v>
      </c>
      <c r="L150" s="2">
        <v>4</v>
      </c>
      <c r="M150" s="2">
        <v>4</v>
      </c>
      <c r="N150" s="2">
        <v>4</v>
      </c>
      <c r="O150" s="2">
        <v>4</v>
      </c>
      <c r="P150" s="2">
        <v>5</v>
      </c>
      <c r="Q150" s="2">
        <v>4</v>
      </c>
      <c r="R150" s="2">
        <v>4</v>
      </c>
      <c r="S150" s="2">
        <v>5</v>
      </c>
    </row>
    <row r="151" spans="1:19" ht="15" customHeight="1" x14ac:dyDescent="0.45">
      <c r="A151" s="4">
        <v>150</v>
      </c>
      <c r="B151" s="5" t="s">
        <v>19</v>
      </c>
      <c r="C151" s="5" t="s">
        <v>20</v>
      </c>
      <c r="D151" s="5" t="s">
        <v>21</v>
      </c>
      <c r="E151" s="5" t="s">
        <v>21</v>
      </c>
      <c r="F151" s="5" t="s">
        <v>22</v>
      </c>
      <c r="G151" s="5" t="s">
        <v>23</v>
      </c>
      <c r="H151" s="4">
        <v>4</v>
      </c>
      <c r="I151" s="4">
        <v>4</v>
      </c>
      <c r="J151" s="4">
        <v>4</v>
      </c>
      <c r="K151" s="4">
        <v>4</v>
      </c>
      <c r="L151" s="4">
        <v>4</v>
      </c>
      <c r="M151" s="4">
        <v>5</v>
      </c>
      <c r="N151" s="4">
        <v>5</v>
      </c>
      <c r="O151" s="4">
        <v>5</v>
      </c>
      <c r="P151" s="4">
        <v>4</v>
      </c>
      <c r="Q151" s="4">
        <v>4</v>
      </c>
      <c r="R151" s="4">
        <v>5</v>
      </c>
      <c r="S151" s="4">
        <v>5</v>
      </c>
    </row>
    <row r="152" spans="1:19" ht="15" customHeight="1" x14ac:dyDescent="0.45">
      <c r="A152" s="2">
        <v>151</v>
      </c>
      <c r="B152" s="3" t="s">
        <v>19</v>
      </c>
      <c r="C152" s="3" t="s">
        <v>24</v>
      </c>
      <c r="D152" s="3" t="s">
        <v>21</v>
      </c>
      <c r="E152" s="3" t="s">
        <v>21</v>
      </c>
      <c r="F152" s="3" t="s">
        <v>28</v>
      </c>
      <c r="G152" s="3" t="s">
        <v>23</v>
      </c>
      <c r="H152" s="2">
        <v>5</v>
      </c>
      <c r="I152" s="2">
        <v>4</v>
      </c>
      <c r="J152" s="2">
        <v>5</v>
      </c>
      <c r="K152" s="2">
        <v>2</v>
      </c>
      <c r="L152" s="2">
        <v>5</v>
      </c>
      <c r="M152" s="2">
        <v>4</v>
      </c>
      <c r="N152" s="2">
        <v>4</v>
      </c>
      <c r="O152" s="2">
        <v>5</v>
      </c>
      <c r="P152" s="2">
        <v>5</v>
      </c>
      <c r="Q152" s="2">
        <v>4</v>
      </c>
      <c r="R152" s="2">
        <v>4</v>
      </c>
      <c r="S152" s="2">
        <v>4</v>
      </c>
    </row>
    <row r="153" spans="1:19" ht="15" customHeight="1" x14ac:dyDescent="0.45">
      <c r="A153" s="4">
        <v>152</v>
      </c>
      <c r="B153" s="5" t="s">
        <v>19</v>
      </c>
      <c r="C153" s="5" t="s">
        <v>20</v>
      </c>
      <c r="D153" s="5" t="s">
        <v>27</v>
      </c>
      <c r="E153" s="5" t="s">
        <v>21</v>
      </c>
      <c r="F153" s="5" t="s">
        <v>43</v>
      </c>
      <c r="G153" s="5" t="s">
        <v>33</v>
      </c>
      <c r="H153" s="4">
        <v>4</v>
      </c>
      <c r="I153" s="4">
        <v>4</v>
      </c>
      <c r="J153" s="4">
        <v>4</v>
      </c>
      <c r="K153" s="4">
        <v>3</v>
      </c>
      <c r="L153" s="4">
        <v>4</v>
      </c>
      <c r="M153" s="4">
        <v>5</v>
      </c>
      <c r="N153" s="4">
        <v>4</v>
      </c>
      <c r="O153" s="4">
        <v>5</v>
      </c>
      <c r="P153" s="4">
        <v>4</v>
      </c>
      <c r="Q153" s="4">
        <v>5</v>
      </c>
      <c r="R153" s="4">
        <v>5</v>
      </c>
      <c r="S153" s="4">
        <v>5</v>
      </c>
    </row>
    <row r="154" spans="1:19" ht="15" customHeight="1" x14ac:dyDescent="0.45">
      <c r="A154" s="2">
        <v>153</v>
      </c>
      <c r="B154" s="3" t="s">
        <v>19</v>
      </c>
      <c r="C154" s="3" t="s">
        <v>20</v>
      </c>
      <c r="D154" s="3" t="s">
        <v>27</v>
      </c>
      <c r="E154" s="3" t="s">
        <v>21</v>
      </c>
      <c r="F154" s="3" t="s">
        <v>28</v>
      </c>
      <c r="G154" s="3" t="s">
        <v>32</v>
      </c>
      <c r="H154" s="2">
        <v>4</v>
      </c>
      <c r="I154" s="2">
        <v>4</v>
      </c>
      <c r="J154" s="2">
        <v>5</v>
      </c>
      <c r="K154" s="2">
        <v>5</v>
      </c>
      <c r="L154" s="2">
        <v>5</v>
      </c>
      <c r="M154" s="2">
        <v>4</v>
      </c>
      <c r="N154" s="2">
        <v>4</v>
      </c>
      <c r="O154" s="2">
        <v>4</v>
      </c>
      <c r="P154" s="2">
        <v>4</v>
      </c>
      <c r="Q154" s="2">
        <v>4</v>
      </c>
      <c r="R154" s="2">
        <v>4</v>
      </c>
      <c r="S154" s="2">
        <v>4</v>
      </c>
    </row>
    <row r="155" spans="1:19" ht="15" customHeight="1" x14ac:dyDescent="0.45">
      <c r="A155" s="4">
        <v>154</v>
      </c>
      <c r="B155" s="5" t="s">
        <v>19</v>
      </c>
      <c r="C155" s="5" t="s">
        <v>20</v>
      </c>
      <c r="D155" s="5" t="s">
        <v>21</v>
      </c>
      <c r="E155" s="5" t="s">
        <v>21</v>
      </c>
      <c r="F155" s="5" t="s">
        <v>30</v>
      </c>
      <c r="G155" s="5" t="s">
        <v>23</v>
      </c>
      <c r="H155" s="4">
        <v>5</v>
      </c>
      <c r="I155" s="4">
        <v>5</v>
      </c>
      <c r="J155" s="4">
        <v>4</v>
      </c>
      <c r="K155" s="4">
        <v>4</v>
      </c>
      <c r="L155" s="4">
        <v>4</v>
      </c>
      <c r="M155" s="4">
        <v>4</v>
      </c>
      <c r="N155" s="4">
        <v>5</v>
      </c>
      <c r="O155" s="4">
        <v>5</v>
      </c>
      <c r="P155" s="4">
        <v>4</v>
      </c>
      <c r="Q155" s="4">
        <v>5</v>
      </c>
      <c r="R155" s="4">
        <v>4</v>
      </c>
      <c r="S155" s="4">
        <v>4</v>
      </c>
    </row>
    <row r="156" spans="1:19" ht="15" customHeight="1" x14ac:dyDescent="0.45">
      <c r="A156" s="2">
        <v>155</v>
      </c>
      <c r="B156" s="3" t="s">
        <v>19</v>
      </c>
      <c r="C156" s="3" t="s">
        <v>24</v>
      </c>
      <c r="D156" s="3" t="s">
        <v>21</v>
      </c>
      <c r="E156" s="3" t="s">
        <v>21</v>
      </c>
      <c r="F156" s="3" t="s">
        <v>22</v>
      </c>
      <c r="G156" s="3" t="s">
        <v>31</v>
      </c>
      <c r="H156" s="2">
        <v>5</v>
      </c>
      <c r="I156" s="2">
        <v>4</v>
      </c>
      <c r="J156" s="2">
        <v>5</v>
      </c>
      <c r="K156" s="2">
        <v>3</v>
      </c>
      <c r="L156" s="2">
        <v>5</v>
      </c>
      <c r="M156" s="2">
        <v>4</v>
      </c>
      <c r="N156" s="2">
        <v>4</v>
      </c>
      <c r="O156" s="2">
        <v>4</v>
      </c>
      <c r="P156" s="2">
        <v>3</v>
      </c>
      <c r="Q156" s="2">
        <v>4</v>
      </c>
      <c r="R156" s="2">
        <v>4</v>
      </c>
      <c r="S156" s="2">
        <v>3</v>
      </c>
    </row>
    <row r="157" spans="1:19" ht="15" customHeight="1" x14ac:dyDescent="0.45">
      <c r="A157" s="4">
        <v>156</v>
      </c>
      <c r="B157" s="5" t="s">
        <v>19</v>
      </c>
      <c r="C157" s="5" t="s">
        <v>24</v>
      </c>
      <c r="D157" s="5" t="s">
        <v>21</v>
      </c>
      <c r="E157" s="5" t="s">
        <v>21</v>
      </c>
      <c r="F157" s="5" t="s">
        <v>30</v>
      </c>
      <c r="G157" s="5" t="s">
        <v>39</v>
      </c>
      <c r="H157" s="4">
        <v>4</v>
      </c>
      <c r="I157" s="4">
        <v>4</v>
      </c>
      <c r="J157" s="4">
        <v>4</v>
      </c>
      <c r="K157" s="4">
        <v>5</v>
      </c>
      <c r="L157" s="4">
        <v>5</v>
      </c>
      <c r="M157" s="4">
        <v>5</v>
      </c>
      <c r="N157" s="4">
        <v>5</v>
      </c>
      <c r="O157" s="4">
        <v>5</v>
      </c>
      <c r="P157" s="4">
        <v>4</v>
      </c>
      <c r="Q157" s="4">
        <v>4</v>
      </c>
      <c r="R157" s="4">
        <v>4</v>
      </c>
      <c r="S157" s="4">
        <v>4</v>
      </c>
    </row>
    <row r="158" spans="1:19" ht="15" customHeight="1" x14ac:dyDescent="0.45">
      <c r="A158" s="2">
        <v>157</v>
      </c>
      <c r="B158" s="3" t="s">
        <v>19</v>
      </c>
      <c r="C158" s="3" t="s">
        <v>20</v>
      </c>
      <c r="D158" s="3" t="s">
        <v>21</v>
      </c>
      <c r="E158" s="3" t="s">
        <v>21</v>
      </c>
      <c r="F158" s="3" t="s">
        <v>22</v>
      </c>
      <c r="G158" s="3" t="s">
        <v>23</v>
      </c>
      <c r="H158" s="2">
        <v>5</v>
      </c>
      <c r="I158" s="2">
        <v>5</v>
      </c>
      <c r="J158" s="2">
        <v>3</v>
      </c>
      <c r="K158" s="2">
        <v>3</v>
      </c>
      <c r="L158" s="2">
        <v>4</v>
      </c>
      <c r="M158" s="2">
        <v>5</v>
      </c>
      <c r="N158" s="2">
        <v>4</v>
      </c>
      <c r="O158" s="2">
        <v>4</v>
      </c>
      <c r="P158" s="2">
        <v>4</v>
      </c>
      <c r="Q158" s="2">
        <v>5</v>
      </c>
      <c r="R158" s="2">
        <v>5</v>
      </c>
      <c r="S158" s="2">
        <v>5</v>
      </c>
    </row>
    <row r="159" spans="1:19" ht="15" customHeight="1" x14ac:dyDescent="0.45">
      <c r="A159" s="4">
        <v>158</v>
      </c>
      <c r="B159" s="5" t="s">
        <v>26</v>
      </c>
      <c r="C159" s="5" t="s">
        <v>20</v>
      </c>
      <c r="D159" s="5" t="s">
        <v>27</v>
      </c>
      <c r="E159" s="5" t="s">
        <v>21</v>
      </c>
      <c r="F159" s="5" t="s">
        <v>28</v>
      </c>
      <c r="G159" s="5" t="s">
        <v>32</v>
      </c>
      <c r="H159" s="4">
        <v>4</v>
      </c>
      <c r="I159" s="4">
        <v>4</v>
      </c>
      <c r="J159" s="4">
        <v>4</v>
      </c>
      <c r="K159" s="4">
        <v>4</v>
      </c>
      <c r="L159" s="4">
        <v>4</v>
      </c>
      <c r="M159" s="4">
        <v>4</v>
      </c>
      <c r="N159" s="4">
        <v>3</v>
      </c>
      <c r="O159" s="4">
        <v>5</v>
      </c>
      <c r="P159" s="4">
        <v>5</v>
      </c>
      <c r="Q159" s="4">
        <v>5</v>
      </c>
      <c r="R159" s="4">
        <v>5</v>
      </c>
      <c r="S159" s="4">
        <v>3</v>
      </c>
    </row>
    <row r="160" spans="1:19" ht="15" customHeight="1" x14ac:dyDescent="0.45">
      <c r="A160" s="2">
        <v>159</v>
      </c>
      <c r="B160" s="3" t="s">
        <v>19</v>
      </c>
      <c r="C160" s="3" t="s">
        <v>24</v>
      </c>
      <c r="D160" s="3" t="s">
        <v>21</v>
      </c>
      <c r="E160" s="3" t="s">
        <v>21</v>
      </c>
      <c r="F160" s="3" t="s">
        <v>22</v>
      </c>
      <c r="G160" s="3" t="s">
        <v>25</v>
      </c>
      <c r="H160" s="2">
        <v>5</v>
      </c>
      <c r="I160" s="2">
        <v>4</v>
      </c>
      <c r="J160" s="2">
        <v>5</v>
      </c>
      <c r="K160" s="2">
        <v>5</v>
      </c>
      <c r="L160" s="2">
        <v>5</v>
      </c>
      <c r="M160" s="2">
        <v>4</v>
      </c>
      <c r="N160" s="2">
        <v>2</v>
      </c>
      <c r="O160" s="2">
        <v>3</v>
      </c>
      <c r="P160" s="2">
        <v>4</v>
      </c>
      <c r="Q160" s="2">
        <v>5</v>
      </c>
      <c r="R160" s="2">
        <v>4</v>
      </c>
      <c r="S160" s="2">
        <v>4</v>
      </c>
    </row>
    <row r="161" spans="1:19" ht="15" customHeight="1" x14ac:dyDescent="0.45">
      <c r="A161" s="4">
        <v>160</v>
      </c>
      <c r="B161" s="5" t="s">
        <v>35</v>
      </c>
      <c r="C161" s="5" t="s">
        <v>20</v>
      </c>
      <c r="D161" s="5" t="s">
        <v>27</v>
      </c>
      <c r="E161" s="5" t="s">
        <v>21</v>
      </c>
      <c r="F161" s="5" t="s">
        <v>28</v>
      </c>
      <c r="G161" s="5" t="s">
        <v>31</v>
      </c>
      <c r="H161" s="4">
        <v>4</v>
      </c>
      <c r="I161" s="4">
        <v>4</v>
      </c>
      <c r="J161" s="4">
        <v>5</v>
      </c>
      <c r="K161" s="4">
        <v>5</v>
      </c>
      <c r="L161" s="4">
        <v>5</v>
      </c>
      <c r="M161" s="4">
        <v>4</v>
      </c>
      <c r="N161" s="4">
        <v>3</v>
      </c>
      <c r="O161" s="4">
        <v>3</v>
      </c>
      <c r="P161" s="4">
        <v>5</v>
      </c>
      <c r="Q161" s="4">
        <v>5</v>
      </c>
      <c r="R161" s="4">
        <v>5</v>
      </c>
      <c r="S161" s="4">
        <v>4</v>
      </c>
    </row>
    <row r="162" spans="1:19" ht="15" customHeight="1" x14ac:dyDescent="0.45">
      <c r="A162" s="2">
        <v>161</v>
      </c>
      <c r="B162" s="3" t="s">
        <v>19</v>
      </c>
      <c r="C162" s="3" t="s">
        <v>24</v>
      </c>
      <c r="D162" s="3" t="s">
        <v>27</v>
      </c>
      <c r="E162" s="3" t="s">
        <v>21</v>
      </c>
      <c r="F162" s="3" t="s">
        <v>22</v>
      </c>
      <c r="G162" s="3" t="s">
        <v>37</v>
      </c>
      <c r="H162" s="2">
        <v>4</v>
      </c>
      <c r="I162" s="2">
        <v>4</v>
      </c>
      <c r="J162" s="2">
        <v>3</v>
      </c>
      <c r="K162" s="2">
        <v>4</v>
      </c>
      <c r="L162" s="2">
        <v>4</v>
      </c>
      <c r="M162" s="2">
        <v>5</v>
      </c>
      <c r="N162" s="2">
        <v>5</v>
      </c>
      <c r="O162" s="2">
        <v>4</v>
      </c>
      <c r="P162" s="2">
        <v>4</v>
      </c>
      <c r="Q162" s="2">
        <v>4</v>
      </c>
      <c r="R162" s="2">
        <v>5</v>
      </c>
      <c r="S162" s="2">
        <v>4</v>
      </c>
    </row>
    <row r="163" spans="1:19" ht="15" customHeight="1" x14ac:dyDescent="0.45">
      <c r="A163" s="4">
        <v>162</v>
      </c>
      <c r="B163" s="5" t="s">
        <v>35</v>
      </c>
      <c r="C163" s="5" t="s">
        <v>20</v>
      </c>
      <c r="D163" s="5" t="s">
        <v>27</v>
      </c>
      <c r="E163" s="5" t="s">
        <v>21</v>
      </c>
      <c r="F163" s="5" t="s">
        <v>28</v>
      </c>
      <c r="G163" s="5" t="s">
        <v>23</v>
      </c>
      <c r="H163" s="4">
        <v>5</v>
      </c>
      <c r="I163" s="4">
        <v>5</v>
      </c>
      <c r="J163" s="4">
        <v>3</v>
      </c>
      <c r="K163" s="4">
        <v>4</v>
      </c>
      <c r="L163" s="4">
        <v>4</v>
      </c>
      <c r="M163" s="4">
        <v>4</v>
      </c>
      <c r="N163" s="4">
        <v>4</v>
      </c>
      <c r="O163" s="4">
        <v>5</v>
      </c>
      <c r="P163" s="4">
        <v>5</v>
      </c>
      <c r="Q163" s="4">
        <v>4</v>
      </c>
      <c r="R163" s="4">
        <v>5</v>
      </c>
      <c r="S163" s="4">
        <v>4</v>
      </c>
    </row>
    <row r="164" spans="1:19" ht="15" customHeight="1" x14ac:dyDescent="0.45">
      <c r="A164" s="2">
        <v>163</v>
      </c>
      <c r="B164" s="3" t="s">
        <v>19</v>
      </c>
      <c r="C164" s="3" t="s">
        <v>24</v>
      </c>
      <c r="D164" s="3" t="s">
        <v>21</v>
      </c>
      <c r="E164" s="3" t="s">
        <v>21</v>
      </c>
      <c r="F164" s="3" t="s">
        <v>30</v>
      </c>
      <c r="G164" s="3" t="s">
        <v>29</v>
      </c>
      <c r="H164" s="2">
        <v>4</v>
      </c>
      <c r="I164" s="2">
        <v>4</v>
      </c>
      <c r="J164" s="2">
        <v>4</v>
      </c>
      <c r="K164" s="2">
        <v>3</v>
      </c>
      <c r="L164" s="2">
        <v>3</v>
      </c>
      <c r="M164" s="2">
        <v>4</v>
      </c>
      <c r="N164" s="2">
        <v>4</v>
      </c>
      <c r="O164" s="2">
        <v>5</v>
      </c>
      <c r="P164" s="2">
        <v>5</v>
      </c>
      <c r="Q164" s="2">
        <v>4</v>
      </c>
      <c r="R164" s="2">
        <v>5</v>
      </c>
      <c r="S164" s="2">
        <v>5</v>
      </c>
    </row>
    <row r="165" spans="1:19" ht="15" customHeight="1" x14ac:dyDescent="0.45">
      <c r="A165" s="4">
        <v>164</v>
      </c>
      <c r="B165" s="5" t="s">
        <v>19</v>
      </c>
      <c r="C165" s="5" t="s">
        <v>24</v>
      </c>
      <c r="D165" s="5" t="s">
        <v>21</v>
      </c>
      <c r="E165" s="5" t="s">
        <v>21</v>
      </c>
      <c r="F165" s="5" t="s">
        <v>43</v>
      </c>
      <c r="G165" s="5" t="s">
        <v>25</v>
      </c>
      <c r="H165" s="4">
        <v>5</v>
      </c>
      <c r="I165" s="4">
        <v>5</v>
      </c>
      <c r="J165" s="4">
        <v>4</v>
      </c>
      <c r="K165" s="4">
        <v>3</v>
      </c>
      <c r="L165" s="4">
        <v>5</v>
      </c>
      <c r="M165" s="4">
        <v>4</v>
      </c>
      <c r="N165" s="4">
        <v>2</v>
      </c>
      <c r="O165" s="4">
        <v>4</v>
      </c>
      <c r="P165" s="4">
        <v>5</v>
      </c>
      <c r="Q165" s="4">
        <v>5</v>
      </c>
      <c r="R165" s="4">
        <v>4</v>
      </c>
      <c r="S165" s="4">
        <v>4</v>
      </c>
    </row>
    <row r="166" spans="1:19" ht="15" customHeight="1" x14ac:dyDescent="0.45">
      <c r="A166" s="2">
        <v>165</v>
      </c>
      <c r="B166" s="3" t="s">
        <v>19</v>
      </c>
      <c r="C166" s="3" t="s">
        <v>20</v>
      </c>
      <c r="D166" s="3" t="s">
        <v>21</v>
      </c>
      <c r="E166" s="3" t="s">
        <v>21</v>
      </c>
      <c r="F166" s="3" t="s">
        <v>30</v>
      </c>
      <c r="G166" s="3" t="s">
        <v>36</v>
      </c>
      <c r="H166" s="2">
        <v>4</v>
      </c>
      <c r="I166" s="2">
        <v>4</v>
      </c>
      <c r="J166" s="2">
        <v>4</v>
      </c>
      <c r="K166" s="2">
        <v>5</v>
      </c>
      <c r="L166" s="2">
        <v>4</v>
      </c>
      <c r="M166" s="2">
        <v>5</v>
      </c>
      <c r="N166" s="2">
        <v>4</v>
      </c>
      <c r="O166" s="2">
        <v>5</v>
      </c>
      <c r="P166" s="2">
        <v>4</v>
      </c>
      <c r="Q166" s="2">
        <v>4</v>
      </c>
      <c r="R166" s="2">
        <v>4</v>
      </c>
      <c r="S166" s="2">
        <v>3</v>
      </c>
    </row>
    <row r="167" spans="1:19" ht="15" customHeight="1" x14ac:dyDescent="0.45">
      <c r="A167" s="4">
        <v>166</v>
      </c>
      <c r="B167" s="5" t="s">
        <v>19</v>
      </c>
      <c r="C167" s="5" t="s">
        <v>20</v>
      </c>
      <c r="D167" s="5" t="s">
        <v>21</v>
      </c>
      <c r="E167" s="5" t="s">
        <v>21</v>
      </c>
      <c r="F167" s="5" t="s">
        <v>30</v>
      </c>
      <c r="G167" s="5" t="s">
        <v>23</v>
      </c>
      <c r="H167" s="4">
        <v>5</v>
      </c>
      <c r="I167" s="4">
        <v>5</v>
      </c>
      <c r="J167" s="4">
        <v>4</v>
      </c>
      <c r="K167" s="4">
        <v>3</v>
      </c>
      <c r="L167" s="4">
        <v>5</v>
      </c>
      <c r="M167" s="4">
        <v>4</v>
      </c>
      <c r="N167" s="4">
        <v>5</v>
      </c>
      <c r="O167" s="4">
        <v>5</v>
      </c>
      <c r="P167" s="4">
        <v>5</v>
      </c>
      <c r="Q167" s="4">
        <v>5</v>
      </c>
      <c r="R167" s="4">
        <v>5</v>
      </c>
      <c r="S167" s="4">
        <v>5</v>
      </c>
    </row>
    <row r="168" spans="1:19" ht="15" customHeight="1" x14ac:dyDescent="0.45">
      <c r="A168" s="2">
        <v>167</v>
      </c>
      <c r="B168" s="3" t="s">
        <v>19</v>
      </c>
      <c r="C168" s="3" t="s">
        <v>20</v>
      </c>
      <c r="D168" s="3" t="s">
        <v>27</v>
      </c>
      <c r="E168" s="3" t="s">
        <v>21</v>
      </c>
      <c r="F168" s="3" t="s">
        <v>30</v>
      </c>
      <c r="G168" s="3" t="s">
        <v>25</v>
      </c>
      <c r="H168" s="2">
        <v>5</v>
      </c>
      <c r="I168" s="2">
        <v>4</v>
      </c>
      <c r="J168" s="2">
        <v>4</v>
      </c>
      <c r="K168" s="2">
        <v>5</v>
      </c>
      <c r="L168" s="2">
        <v>5</v>
      </c>
      <c r="M168" s="2">
        <v>4</v>
      </c>
      <c r="N168" s="2">
        <v>4</v>
      </c>
      <c r="O168" s="2">
        <v>4</v>
      </c>
      <c r="P168" s="2">
        <v>5</v>
      </c>
      <c r="Q168" s="2">
        <v>5</v>
      </c>
      <c r="R168" s="2">
        <v>5</v>
      </c>
      <c r="S168" s="2">
        <v>3</v>
      </c>
    </row>
    <row r="169" spans="1:19" ht="15" customHeight="1" x14ac:dyDescent="0.45">
      <c r="A169" s="4">
        <v>168</v>
      </c>
      <c r="B169" s="5" t="s">
        <v>41</v>
      </c>
      <c r="C169" s="5" t="s">
        <v>24</v>
      </c>
      <c r="D169" s="5" t="s">
        <v>27</v>
      </c>
      <c r="E169" s="5" t="s">
        <v>21</v>
      </c>
      <c r="F169" s="5" t="s">
        <v>22</v>
      </c>
      <c r="G169" s="5" t="s">
        <v>23</v>
      </c>
      <c r="H169" s="4">
        <v>4</v>
      </c>
      <c r="I169" s="4">
        <v>5</v>
      </c>
      <c r="J169" s="4">
        <v>4</v>
      </c>
      <c r="K169" s="4">
        <v>4</v>
      </c>
      <c r="L169" s="4">
        <v>4</v>
      </c>
      <c r="M169" s="4">
        <v>4</v>
      </c>
      <c r="N169" s="4">
        <v>4</v>
      </c>
      <c r="O169" s="4">
        <v>4</v>
      </c>
      <c r="P169" s="4">
        <v>5</v>
      </c>
      <c r="Q169" s="4">
        <v>5</v>
      </c>
      <c r="R169" s="4">
        <v>4</v>
      </c>
      <c r="S169" s="4">
        <v>5</v>
      </c>
    </row>
    <row r="170" spans="1:19" ht="15" customHeight="1" x14ac:dyDescent="0.45">
      <c r="A170" s="2">
        <v>169</v>
      </c>
      <c r="B170" s="3" t="s">
        <v>26</v>
      </c>
      <c r="C170" s="3" t="s">
        <v>20</v>
      </c>
      <c r="D170" s="3" t="s">
        <v>27</v>
      </c>
      <c r="E170" s="3" t="s">
        <v>21</v>
      </c>
      <c r="F170" s="3" t="s">
        <v>22</v>
      </c>
      <c r="G170" s="3" t="s">
        <v>23</v>
      </c>
      <c r="H170" s="2">
        <v>5</v>
      </c>
      <c r="I170" s="2">
        <v>4</v>
      </c>
      <c r="J170" s="2">
        <v>4</v>
      </c>
      <c r="K170" s="2">
        <v>4</v>
      </c>
      <c r="L170" s="2">
        <v>5</v>
      </c>
      <c r="M170" s="2">
        <v>4</v>
      </c>
      <c r="N170" s="2">
        <v>5</v>
      </c>
      <c r="O170" s="2">
        <v>5</v>
      </c>
      <c r="P170" s="2">
        <v>5</v>
      </c>
      <c r="Q170" s="2">
        <v>4</v>
      </c>
      <c r="R170" s="2">
        <v>5</v>
      </c>
      <c r="S170" s="2">
        <v>5</v>
      </c>
    </row>
    <row r="171" spans="1:19" ht="15" customHeight="1" x14ac:dyDescent="0.45">
      <c r="A171" s="4">
        <v>170</v>
      </c>
      <c r="B171" s="5" t="s">
        <v>19</v>
      </c>
      <c r="C171" s="5" t="s">
        <v>24</v>
      </c>
      <c r="D171" s="5" t="s">
        <v>27</v>
      </c>
      <c r="E171" s="5" t="s">
        <v>21</v>
      </c>
      <c r="F171" s="5" t="s">
        <v>22</v>
      </c>
      <c r="G171" s="5" t="s">
        <v>23</v>
      </c>
      <c r="H171" s="4">
        <v>5</v>
      </c>
      <c r="I171" s="4">
        <v>5</v>
      </c>
      <c r="J171" s="4">
        <v>3</v>
      </c>
      <c r="K171" s="4">
        <v>3</v>
      </c>
      <c r="L171" s="4">
        <v>4</v>
      </c>
      <c r="M171" s="4">
        <v>4</v>
      </c>
      <c r="N171" s="4">
        <v>5</v>
      </c>
      <c r="O171" s="4">
        <v>5</v>
      </c>
      <c r="P171" s="4">
        <v>4</v>
      </c>
      <c r="Q171" s="4">
        <v>5</v>
      </c>
      <c r="R171" s="4">
        <v>5</v>
      </c>
      <c r="S171" s="4">
        <v>5</v>
      </c>
    </row>
    <row r="172" spans="1:19" ht="15" customHeight="1" x14ac:dyDescent="0.45">
      <c r="A172" s="2">
        <v>171</v>
      </c>
      <c r="B172" s="3" t="s">
        <v>26</v>
      </c>
      <c r="C172" s="3" t="s">
        <v>20</v>
      </c>
      <c r="D172" s="3" t="s">
        <v>27</v>
      </c>
      <c r="E172" s="3" t="s">
        <v>21</v>
      </c>
      <c r="F172" s="3" t="s">
        <v>30</v>
      </c>
      <c r="G172" s="3" t="s">
        <v>31</v>
      </c>
      <c r="H172" s="2">
        <v>4</v>
      </c>
      <c r="I172" s="2">
        <v>4</v>
      </c>
      <c r="J172" s="2">
        <v>5</v>
      </c>
      <c r="K172" s="2">
        <v>3</v>
      </c>
      <c r="L172" s="2">
        <v>4</v>
      </c>
      <c r="M172" s="2">
        <v>4</v>
      </c>
      <c r="N172" s="2">
        <v>4</v>
      </c>
      <c r="O172" s="2">
        <v>4</v>
      </c>
      <c r="P172" s="2">
        <v>4</v>
      </c>
      <c r="Q172" s="2">
        <v>4</v>
      </c>
      <c r="R172" s="2">
        <v>4</v>
      </c>
      <c r="S172" s="2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2"/>
  <sheetViews>
    <sheetView zoomScaleNormal="100" workbookViewId="0"/>
  </sheetViews>
  <sheetFormatPr defaultColWidth="8.6640625" defaultRowHeight="14.25" x14ac:dyDescent="0.45"/>
  <cols>
    <col min="1" max="12" width="8" customWidth="1"/>
  </cols>
  <sheetData>
    <row r="1" spans="1:12" ht="15" customHeight="1" x14ac:dyDescent="0.4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ht="15" customHeight="1" x14ac:dyDescent="0.45">
      <c r="A2">
        <f>RANK('1. Datos'!H2,'1. Datos'!H$2:H$172,1)+(COUNTIF('1. Datos'!H$2:H$172,'1. Datos'!H2)-1)/2</f>
        <v>41.5</v>
      </c>
      <c r="B2">
        <f>RANK('1. Datos'!I2,'1. Datos'!I$2:I$172,1)+(COUNTIF('1. Datos'!I$2:I$172,'1. Datos'!I2)-1)/2</f>
        <v>138</v>
      </c>
      <c r="C2">
        <f>RANK('1. Datos'!J2,'1. Datos'!J$2:J$172,1)+(COUNTIF('1. Datos'!J$2:J$172,'1. Datos'!J2)-1)/2</f>
        <v>10.5</v>
      </c>
      <c r="D2">
        <f>RANK('1. Datos'!K2,'1. Datos'!K$2:K$172,1)+(COUNTIF('1. Datos'!K$2:K$172,'1. Datos'!K2)-1)/2</f>
        <v>1.5</v>
      </c>
      <c r="E2">
        <f>RANK('1. Datos'!L2,'1. Datos'!L$2:L$172,1)+(COUNTIF('1. Datos'!L$2:L$172,'1. Datos'!L2)-1)/2</f>
        <v>55.5</v>
      </c>
      <c r="F2">
        <f>RANK('1. Datos'!M2,'1. Datos'!M$2:M$172,1)+(COUNTIF('1. Datos'!M$2:M$172,'1. Datos'!M2)-1)/2</f>
        <v>4</v>
      </c>
      <c r="G2">
        <f>RANK('1. Datos'!N2,'1. Datos'!N$2:N$172,1)+(COUNTIF('1. Datos'!N$2:N$172,'1. Datos'!N2)-1)/2</f>
        <v>127</v>
      </c>
      <c r="H2">
        <f>RANK('1. Datos'!O2,'1. Datos'!O$2:O$172,1)+(COUNTIF('1. Datos'!O$2:O$172,'1. Datos'!O2)-1)/2</f>
        <v>126</v>
      </c>
      <c r="I2">
        <f>RANK('1. Datos'!P2,'1. Datos'!P$2:P$172,1)+(COUNTIF('1. Datos'!P$2:P$172,'1. Datos'!P2)-1)/2</f>
        <v>41.5</v>
      </c>
      <c r="J2">
        <f>RANK('1. Datos'!Q2,'1. Datos'!Q$2:Q$172,1)+(COUNTIF('1. Datos'!Q$2:Q$172,'1. Datos'!Q2)-1)/2</f>
        <v>123</v>
      </c>
      <c r="K2">
        <f>RANK('1. Datos'!R2,'1. Datos'!R$2:R$172,1)+(COUNTIF('1. Datos'!R$2:R$172,'1. Datos'!R2)-1)/2</f>
        <v>33.5</v>
      </c>
      <c r="L2">
        <f>RANK('1. Datos'!S2,'1. Datos'!S$2:S$172,1)+(COUNTIF('1. Datos'!S$2:S$172,'1. Datos'!S2)-1)/2</f>
        <v>124.5</v>
      </c>
    </row>
    <row r="3" spans="1:12" ht="15" customHeight="1" x14ac:dyDescent="0.45">
      <c r="A3">
        <f>RANK('1. Datos'!H3,'1. Datos'!H$2:H$172,1)+(COUNTIF('1. Datos'!H$2:H$172,'1. Datos'!H3)-1)/2</f>
        <v>41.5</v>
      </c>
      <c r="B3">
        <f>RANK('1. Datos'!I3,'1. Datos'!I$2:I$172,1)+(COUNTIF('1. Datos'!I$2:I$172,'1. Datos'!I3)-1)/2</f>
        <v>57.5</v>
      </c>
      <c r="C3">
        <f>RANK('1. Datos'!J3,'1. Datos'!J$2:J$172,1)+(COUNTIF('1. Datos'!J$2:J$172,'1. Datos'!J3)-1)/2</f>
        <v>137.5</v>
      </c>
      <c r="D3">
        <f>RANK('1. Datos'!K3,'1. Datos'!K$2:K$172,1)+(COUNTIF('1. Datos'!K$2:K$172,'1. Datos'!K3)-1)/2</f>
        <v>11</v>
      </c>
      <c r="E3">
        <f>RANK('1. Datos'!L3,'1. Datos'!L$2:L$172,1)+(COUNTIF('1. Datos'!L$2:L$172,'1. Datos'!L3)-1)/2</f>
        <v>55.5</v>
      </c>
      <c r="F3">
        <f>RANK('1. Datos'!M3,'1. Datos'!M$2:M$172,1)+(COUNTIF('1. Datos'!M$2:M$172,'1. Datos'!M3)-1)/2</f>
        <v>57.5</v>
      </c>
      <c r="G3">
        <f>RANK('1. Datos'!N3,'1. Datos'!N$2:N$172,1)+(COUNTIF('1. Datos'!N$2:N$172,'1. Datos'!N3)-1)/2</f>
        <v>16</v>
      </c>
      <c r="H3">
        <f>RANK('1. Datos'!O3,'1. Datos'!O$2:O$172,1)+(COUNTIF('1. Datos'!O$2:O$172,'1. Datos'!O3)-1)/2</f>
        <v>9.5</v>
      </c>
      <c r="I3">
        <f>RANK('1. Datos'!P3,'1. Datos'!P$2:P$172,1)+(COUNTIF('1. Datos'!P$2:P$172,'1. Datos'!P3)-1)/2</f>
        <v>5.5</v>
      </c>
      <c r="J3">
        <f>RANK('1. Datos'!Q3,'1. Datos'!Q$2:Q$172,1)+(COUNTIF('1. Datos'!Q$2:Q$172,'1. Datos'!Q3)-1)/2</f>
        <v>38.5</v>
      </c>
      <c r="K3">
        <f>RANK('1. Datos'!R3,'1. Datos'!R$2:R$172,1)+(COUNTIF('1. Datos'!R$2:R$172,'1. Datos'!R3)-1)/2</f>
        <v>33.5</v>
      </c>
      <c r="L3">
        <f>RANK('1. Datos'!S3,'1. Datos'!S$2:S$172,1)+(COUNTIF('1. Datos'!S$2:S$172,'1. Datos'!S3)-1)/2</f>
        <v>14</v>
      </c>
    </row>
    <row r="4" spans="1:12" ht="15" customHeight="1" x14ac:dyDescent="0.45">
      <c r="A4">
        <f>RANK('1. Datos'!H4,'1. Datos'!H$2:H$172,1)+(COUNTIF('1. Datos'!H$2:H$172,'1. Datos'!H4)-1)/2</f>
        <v>125</v>
      </c>
      <c r="B4">
        <f>RANK('1. Datos'!I4,'1. Datos'!I$2:I$172,1)+(COUNTIF('1. Datos'!I$2:I$172,'1. Datos'!I4)-1)/2</f>
        <v>57.5</v>
      </c>
      <c r="C4">
        <f>RANK('1. Datos'!J4,'1. Datos'!J$2:J$172,1)+(COUNTIF('1. Datos'!J$2:J$172,'1. Datos'!J4)-1)/2</f>
        <v>62</v>
      </c>
      <c r="D4">
        <f>RANK('1. Datos'!K4,'1. Datos'!K$2:K$172,1)+(COUNTIF('1. Datos'!K$2:K$172,'1. Datos'!K4)-1)/2</f>
        <v>11</v>
      </c>
      <c r="E4">
        <f>RANK('1. Datos'!L4,'1. Datos'!L$2:L$172,1)+(COUNTIF('1. Datos'!L$2:L$172,'1. Datos'!L4)-1)/2</f>
        <v>55.5</v>
      </c>
      <c r="F4">
        <f>RANK('1. Datos'!M4,'1. Datos'!M$2:M$172,1)+(COUNTIF('1. Datos'!M$2:M$172,'1. Datos'!M4)-1)/2</f>
        <v>4</v>
      </c>
      <c r="G4">
        <f>RANK('1. Datos'!N4,'1. Datos'!N$2:N$172,1)+(COUNTIF('1. Datos'!N$2:N$172,'1. Datos'!N4)-1)/2</f>
        <v>53</v>
      </c>
      <c r="H4">
        <f>RANK('1. Datos'!O4,'1. Datos'!O$2:O$172,1)+(COUNTIF('1. Datos'!O$2:O$172,'1. Datos'!O4)-1)/2</f>
        <v>49</v>
      </c>
      <c r="I4">
        <f>RANK('1. Datos'!P4,'1. Datos'!P$2:P$172,1)+(COUNTIF('1. Datos'!P$2:P$172,'1. Datos'!P4)-1)/2</f>
        <v>122</v>
      </c>
      <c r="J4">
        <f>RANK('1. Datos'!Q4,'1. Datos'!Q$2:Q$172,1)+(COUNTIF('1. Datos'!Q$2:Q$172,'1. Datos'!Q4)-1)/2</f>
        <v>38.5</v>
      </c>
      <c r="K4">
        <f>RANK('1. Datos'!R4,'1. Datos'!R$2:R$172,1)+(COUNTIF('1. Datos'!R$2:R$172,'1. Datos'!R4)-1)/2</f>
        <v>33.5</v>
      </c>
      <c r="L4">
        <f>RANK('1. Datos'!S4,'1. Datos'!S$2:S$172,1)+(COUNTIF('1. Datos'!S$2:S$172,'1. Datos'!S4)-1)/2</f>
        <v>124.5</v>
      </c>
    </row>
    <row r="5" spans="1:12" ht="15" customHeight="1" x14ac:dyDescent="0.45">
      <c r="A5">
        <f>RANK('1. Datos'!H5,'1. Datos'!H$2:H$172,1)+(COUNTIF('1. Datos'!H$2:H$172,'1. Datos'!H5)-1)/2</f>
        <v>125</v>
      </c>
      <c r="B5">
        <f>RANK('1. Datos'!I5,'1. Datos'!I$2:I$172,1)+(COUNTIF('1. Datos'!I$2:I$172,'1. Datos'!I5)-1)/2</f>
        <v>138</v>
      </c>
      <c r="C5">
        <f>RANK('1. Datos'!J5,'1. Datos'!J$2:J$172,1)+(COUNTIF('1. Datos'!J$2:J$172,'1. Datos'!J5)-1)/2</f>
        <v>62</v>
      </c>
      <c r="D5">
        <f>RANK('1. Datos'!K5,'1. Datos'!K$2:K$172,1)+(COUNTIF('1. Datos'!K$2:K$172,'1. Datos'!K5)-1)/2</f>
        <v>39</v>
      </c>
      <c r="E5">
        <f>RANK('1. Datos'!L5,'1. Datos'!L$2:L$172,1)+(COUNTIF('1. Datos'!L$2:L$172,'1. Datos'!L5)-1)/2</f>
        <v>10.5</v>
      </c>
      <c r="F5">
        <f>RANK('1. Datos'!M5,'1. Datos'!M$2:M$172,1)+(COUNTIF('1. Datos'!M$2:M$172,'1. Datos'!M5)-1)/2</f>
        <v>57.5</v>
      </c>
      <c r="G5">
        <f>RANK('1. Datos'!N5,'1. Datos'!N$2:N$172,1)+(COUNTIF('1. Datos'!N$2:N$172,'1. Datos'!N5)-1)/2</f>
        <v>127</v>
      </c>
      <c r="H5">
        <f>RANK('1. Datos'!O5,'1. Datos'!O$2:O$172,1)+(COUNTIF('1. Datos'!O$2:O$172,'1. Datos'!O5)-1)/2</f>
        <v>126</v>
      </c>
      <c r="I5">
        <f>RANK('1. Datos'!P5,'1. Datos'!P$2:P$172,1)+(COUNTIF('1. Datos'!P$2:P$172,'1. Datos'!P5)-1)/2</f>
        <v>122</v>
      </c>
      <c r="J5">
        <f>RANK('1. Datos'!Q5,'1. Datos'!Q$2:Q$172,1)+(COUNTIF('1. Datos'!Q$2:Q$172,'1. Datos'!Q5)-1)/2</f>
        <v>123</v>
      </c>
      <c r="K5">
        <f>RANK('1. Datos'!R5,'1. Datos'!R$2:R$172,1)+(COUNTIF('1. Datos'!R$2:R$172,'1. Datos'!R5)-1)/2</f>
        <v>118.5</v>
      </c>
      <c r="L5">
        <f>RANK('1. Datos'!S5,'1. Datos'!S$2:S$172,1)+(COUNTIF('1. Datos'!S$2:S$172,'1. Datos'!S5)-1)/2</f>
        <v>124.5</v>
      </c>
    </row>
    <row r="6" spans="1:12" ht="15" customHeight="1" x14ac:dyDescent="0.45">
      <c r="A6">
        <f>RANK('1. Datos'!H6,'1. Datos'!H$2:H$172,1)+(COUNTIF('1. Datos'!H$2:H$172,'1. Datos'!H6)-1)/2</f>
        <v>125</v>
      </c>
      <c r="B6">
        <f>RANK('1. Datos'!I6,'1. Datos'!I$2:I$172,1)+(COUNTIF('1. Datos'!I$2:I$172,'1. Datos'!I6)-1)/2</f>
        <v>138</v>
      </c>
      <c r="C6">
        <f>RANK('1. Datos'!J6,'1. Datos'!J$2:J$172,1)+(COUNTIF('1. Datos'!J$2:J$172,'1. Datos'!J6)-1)/2</f>
        <v>137.5</v>
      </c>
      <c r="D6">
        <f>RANK('1. Datos'!K6,'1. Datos'!K$2:K$172,1)+(COUNTIF('1. Datos'!K$2:K$172,'1. Datos'!K6)-1)/2</f>
        <v>39</v>
      </c>
      <c r="E6">
        <f>RANK('1. Datos'!L6,'1. Datos'!L$2:L$172,1)+(COUNTIF('1. Datos'!L$2:L$172,'1. Datos'!L6)-1)/2</f>
        <v>132</v>
      </c>
      <c r="F6">
        <f>RANK('1. Datos'!M6,'1. Datos'!M$2:M$172,1)+(COUNTIF('1. Datos'!M$2:M$172,'1. Datos'!M6)-1)/2</f>
        <v>139.5</v>
      </c>
      <c r="G6">
        <f>RANK('1. Datos'!N6,'1. Datos'!N$2:N$172,1)+(COUNTIF('1. Datos'!N$2:N$172,'1. Datos'!N6)-1)/2</f>
        <v>53</v>
      </c>
      <c r="H6">
        <f>RANK('1. Datos'!O6,'1. Datos'!O$2:O$172,1)+(COUNTIF('1. Datos'!O$2:O$172,'1. Datos'!O6)-1)/2</f>
        <v>9.5</v>
      </c>
      <c r="I6">
        <f>RANK('1. Datos'!P6,'1. Datos'!P$2:P$172,1)+(COUNTIF('1. Datos'!P$2:P$172,'1. Datos'!P6)-1)/2</f>
        <v>122</v>
      </c>
      <c r="J6">
        <f>RANK('1. Datos'!Q6,'1. Datos'!Q$2:Q$172,1)+(COUNTIF('1. Datos'!Q$2:Q$172,'1. Datos'!Q6)-1)/2</f>
        <v>123</v>
      </c>
      <c r="K6">
        <f>RANK('1. Datos'!R6,'1. Datos'!R$2:R$172,1)+(COUNTIF('1. Datos'!R$2:R$172,'1. Datos'!R6)-1)/2</f>
        <v>33.5</v>
      </c>
      <c r="L6">
        <f>RANK('1. Datos'!S6,'1. Datos'!S$2:S$172,1)+(COUNTIF('1. Datos'!S$2:S$172,'1. Datos'!S6)-1)/2</f>
        <v>51.5</v>
      </c>
    </row>
    <row r="7" spans="1:12" ht="15" customHeight="1" x14ac:dyDescent="0.45">
      <c r="A7">
        <f>RANK('1. Datos'!H7,'1. Datos'!H$2:H$172,1)+(COUNTIF('1. Datos'!H$2:H$172,'1. Datos'!H7)-1)/2</f>
        <v>125</v>
      </c>
      <c r="B7">
        <f>RANK('1. Datos'!I7,'1. Datos'!I$2:I$172,1)+(COUNTIF('1. Datos'!I$2:I$172,'1. Datos'!I7)-1)/2</f>
        <v>138</v>
      </c>
      <c r="C7">
        <f>RANK('1. Datos'!J7,'1. Datos'!J$2:J$172,1)+(COUNTIF('1. Datos'!J$2:J$172,'1. Datos'!J7)-1)/2</f>
        <v>62</v>
      </c>
      <c r="D7">
        <f>RANK('1. Datos'!K7,'1. Datos'!K$2:K$172,1)+(COUNTIF('1. Datos'!K$2:K$172,'1. Datos'!K7)-1)/2</f>
        <v>149</v>
      </c>
      <c r="E7">
        <f>RANK('1. Datos'!L7,'1. Datos'!L$2:L$172,1)+(COUNTIF('1. Datos'!L$2:L$172,'1. Datos'!L7)-1)/2</f>
        <v>132</v>
      </c>
      <c r="F7">
        <f>RANK('1. Datos'!M7,'1. Datos'!M$2:M$172,1)+(COUNTIF('1. Datos'!M$2:M$172,'1. Datos'!M7)-1)/2</f>
        <v>57.5</v>
      </c>
      <c r="G7">
        <f>RANK('1. Datos'!N7,'1. Datos'!N$2:N$172,1)+(COUNTIF('1. Datos'!N$2:N$172,'1. Datos'!N7)-1)/2</f>
        <v>53</v>
      </c>
      <c r="H7">
        <f>RANK('1. Datos'!O7,'1. Datos'!O$2:O$172,1)+(COUNTIF('1. Datos'!O$2:O$172,'1. Datos'!O7)-1)/2</f>
        <v>49</v>
      </c>
      <c r="I7">
        <f>RANK('1. Datos'!P7,'1. Datos'!P$2:P$172,1)+(COUNTIF('1. Datos'!P$2:P$172,'1. Datos'!P7)-1)/2</f>
        <v>41.5</v>
      </c>
      <c r="J7">
        <f>RANK('1. Datos'!Q7,'1. Datos'!Q$2:Q$172,1)+(COUNTIF('1. Datos'!Q$2:Q$172,'1. Datos'!Q7)-1)/2</f>
        <v>38.5</v>
      </c>
      <c r="K7">
        <f>RANK('1. Datos'!R7,'1. Datos'!R$2:R$172,1)+(COUNTIF('1. Datos'!R$2:R$172,'1. Datos'!R7)-1)/2</f>
        <v>33.5</v>
      </c>
      <c r="L7">
        <f>RANK('1. Datos'!S7,'1. Datos'!S$2:S$172,1)+(COUNTIF('1. Datos'!S$2:S$172,'1. Datos'!S7)-1)/2</f>
        <v>124.5</v>
      </c>
    </row>
    <row r="8" spans="1:12" ht="15" customHeight="1" x14ac:dyDescent="0.45">
      <c r="A8">
        <f>RANK('1. Datos'!H8,'1. Datos'!H$2:H$172,1)+(COUNTIF('1. Datos'!H$2:H$172,'1. Datos'!H8)-1)/2</f>
        <v>125</v>
      </c>
      <c r="B8">
        <f>RANK('1. Datos'!I8,'1. Datos'!I$2:I$172,1)+(COUNTIF('1. Datos'!I$2:I$172,'1. Datos'!I8)-1)/2</f>
        <v>57.5</v>
      </c>
      <c r="C8">
        <f>RANK('1. Datos'!J8,'1. Datos'!J$2:J$172,1)+(COUNTIF('1. Datos'!J$2:J$172,'1. Datos'!J8)-1)/2</f>
        <v>62</v>
      </c>
      <c r="D8">
        <f>RANK('1. Datos'!K8,'1. Datos'!K$2:K$172,1)+(COUNTIF('1. Datos'!K$2:K$172,'1. Datos'!K8)-1)/2</f>
        <v>92.5</v>
      </c>
      <c r="E8">
        <f>RANK('1. Datos'!L8,'1. Datos'!L$2:L$172,1)+(COUNTIF('1. Datos'!L$2:L$172,'1. Datos'!L8)-1)/2</f>
        <v>132</v>
      </c>
      <c r="F8">
        <f>RANK('1. Datos'!M8,'1. Datos'!M$2:M$172,1)+(COUNTIF('1. Datos'!M$2:M$172,'1. Datos'!M8)-1)/2</f>
        <v>139.5</v>
      </c>
      <c r="G8">
        <f>RANK('1. Datos'!N8,'1. Datos'!N$2:N$172,1)+(COUNTIF('1. Datos'!N$2:N$172,'1. Datos'!N8)-1)/2</f>
        <v>53</v>
      </c>
      <c r="H8">
        <f>RANK('1. Datos'!O8,'1. Datos'!O$2:O$172,1)+(COUNTIF('1. Datos'!O$2:O$172,'1. Datos'!O8)-1)/2</f>
        <v>126</v>
      </c>
      <c r="I8">
        <f>RANK('1. Datos'!P8,'1. Datos'!P$2:P$172,1)+(COUNTIF('1. Datos'!P$2:P$172,'1. Datos'!P8)-1)/2</f>
        <v>41.5</v>
      </c>
      <c r="J8">
        <f>RANK('1. Datos'!Q8,'1. Datos'!Q$2:Q$172,1)+(COUNTIF('1. Datos'!Q$2:Q$172,'1. Datos'!Q8)-1)/2</f>
        <v>123</v>
      </c>
      <c r="K8">
        <f>RANK('1. Datos'!R8,'1. Datos'!R$2:R$172,1)+(COUNTIF('1. Datos'!R$2:R$172,'1. Datos'!R8)-1)/2</f>
        <v>118.5</v>
      </c>
      <c r="L8">
        <f>RANK('1. Datos'!S8,'1. Datos'!S$2:S$172,1)+(COUNTIF('1. Datos'!S$2:S$172,'1. Datos'!S8)-1)/2</f>
        <v>14</v>
      </c>
    </row>
    <row r="9" spans="1:12" ht="15" customHeight="1" x14ac:dyDescent="0.45">
      <c r="A9">
        <f>RANK('1. Datos'!H9,'1. Datos'!H$2:H$172,1)+(COUNTIF('1. Datos'!H$2:H$172,'1. Datos'!H9)-1)/2</f>
        <v>41.5</v>
      </c>
      <c r="B9">
        <f>RANK('1. Datos'!I9,'1. Datos'!I$2:I$172,1)+(COUNTIF('1. Datos'!I$2:I$172,'1. Datos'!I9)-1)/2</f>
        <v>57.5</v>
      </c>
      <c r="C9">
        <f>RANK('1. Datos'!J9,'1. Datos'!J$2:J$172,1)+(COUNTIF('1. Datos'!J$2:J$172,'1. Datos'!J9)-1)/2</f>
        <v>137.5</v>
      </c>
      <c r="D9">
        <f>RANK('1. Datos'!K9,'1. Datos'!K$2:K$172,1)+(COUNTIF('1. Datos'!K$2:K$172,'1. Datos'!K9)-1)/2</f>
        <v>149</v>
      </c>
      <c r="E9">
        <f>RANK('1. Datos'!L9,'1. Datos'!L$2:L$172,1)+(COUNTIF('1. Datos'!L$2:L$172,'1. Datos'!L9)-1)/2</f>
        <v>132</v>
      </c>
      <c r="F9">
        <f>RANK('1. Datos'!M9,'1. Datos'!M$2:M$172,1)+(COUNTIF('1. Datos'!M$2:M$172,'1. Datos'!M9)-1)/2</f>
        <v>139.5</v>
      </c>
      <c r="G9">
        <f>RANK('1. Datos'!N9,'1. Datos'!N$2:N$172,1)+(COUNTIF('1. Datos'!N$2:N$172,'1. Datos'!N9)-1)/2</f>
        <v>53</v>
      </c>
      <c r="H9">
        <f>RANK('1. Datos'!O9,'1. Datos'!O$2:O$172,1)+(COUNTIF('1. Datos'!O$2:O$172,'1. Datos'!O9)-1)/2</f>
        <v>49</v>
      </c>
      <c r="I9">
        <f>RANK('1. Datos'!P9,'1. Datos'!P$2:P$172,1)+(COUNTIF('1. Datos'!P$2:P$172,'1. Datos'!P9)-1)/2</f>
        <v>41.5</v>
      </c>
      <c r="J9">
        <f>RANK('1. Datos'!Q9,'1. Datos'!Q$2:Q$172,1)+(COUNTIF('1. Datos'!Q$2:Q$172,'1. Datos'!Q9)-1)/2</f>
        <v>123</v>
      </c>
      <c r="K9">
        <f>RANK('1. Datos'!R9,'1. Datos'!R$2:R$172,1)+(COUNTIF('1. Datos'!R$2:R$172,'1. Datos'!R9)-1)/2</f>
        <v>118.5</v>
      </c>
      <c r="L9">
        <f>RANK('1. Datos'!S9,'1. Datos'!S$2:S$172,1)+(COUNTIF('1. Datos'!S$2:S$172,'1. Datos'!S9)-1)/2</f>
        <v>14</v>
      </c>
    </row>
    <row r="10" spans="1:12" ht="15" customHeight="1" x14ac:dyDescent="0.45">
      <c r="A10">
        <f>RANK('1. Datos'!H10,'1. Datos'!H$2:H$172,1)+(COUNTIF('1. Datos'!H$2:H$172,'1. Datos'!H10)-1)/2</f>
        <v>125</v>
      </c>
      <c r="B10">
        <f>RANK('1. Datos'!I10,'1. Datos'!I$2:I$172,1)+(COUNTIF('1. Datos'!I$2:I$172,'1. Datos'!I10)-1)/2</f>
        <v>57.5</v>
      </c>
      <c r="C10">
        <f>RANK('1. Datos'!J10,'1. Datos'!J$2:J$172,1)+(COUNTIF('1. Datos'!J$2:J$172,'1. Datos'!J10)-1)/2</f>
        <v>137.5</v>
      </c>
      <c r="D10">
        <f>RANK('1. Datos'!K10,'1. Datos'!K$2:K$172,1)+(COUNTIF('1. Datos'!K$2:K$172,'1. Datos'!K10)-1)/2</f>
        <v>92.5</v>
      </c>
      <c r="E10">
        <f>RANK('1. Datos'!L10,'1. Datos'!L$2:L$172,1)+(COUNTIF('1. Datos'!L$2:L$172,'1. Datos'!L10)-1)/2</f>
        <v>55.5</v>
      </c>
      <c r="F10">
        <f>RANK('1. Datos'!M10,'1. Datos'!M$2:M$172,1)+(COUNTIF('1. Datos'!M$2:M$172,'1. Datos'!M10)-1)/2</f>
        <v>139.5</v>
      </c>
      <c r="G10">
        <f>RANK('1. Datos'!N10,'1. Datos'!N$2:N$172,1)+(COUNTIF('1. Datos'!N$2:N$172,'1. Datos'!N10)-1)/2</f>
        <v>127</v>
      </c>
      <c r="H10">
        <f>RANK('1. Datos'!O10,'1. Datos'!O$2:O$172,1)+(COUNTIF('1. Datos'!O$2:O$172,'1. Datos'!O10)-1)/2</f>
        <v>126</v>
      </c>
      <c r="I10">
        <f>RANK('1. Datos'!P10,'1. Datos'!P$2:P$172,1)+(COUNTIF('1. Datos'!P$2:P$172,'1. Datos'!P10)-1)/2</f>
        <v>41.5</v>
      </c>
      <c r="J10">
        <f>RANK('1. Datos'!Q10,'1. Datos'!Q$2:Q$172,1)+(COUNTIF('1. Datos'!Q$2:Q$172,'1. Datos'!Q10)-1)/2</f>
        <v>123</v>
      </c>
      <c r="K10">
        <f>RANK('1. Datos'!R10,'1. Datos'!R$2:R$172,1)+(COUNTIF('1. Datos'!R$2:R$172,'1. Datos'!R10)-1)/2</f>
        <v>118.5</v>
      </c>
      <c r="L10">
        <f>RANK('1. Datos'!S10,'1. Datos'!S$2:S$172,1)+(COUNTIF('1. Datos'!S$2:S$172,'1. Datos'!S10)-1)/2</f>
        <v>124.5</v>
      </c>
    </row>
    <row r="11" spans="1:12" ht="15" customHeight="1" x14ac:dyDescent="0.45">
      <c r="A11">
        <f>RANK('1. Datos'!H11,'1. Datos'!H$2:H$172,1)+(COUNTIF('1. Datos'!H$2:H$172,'1. Datos'!H11)-1)/2</f>
        <v>125</v>
      </c>
      <c r="B11">
        <f>RANK('1. Datos'!I11,'1. Datos'!I$2:I$172,1)+(COUNTIF('1. Datos'!I$2:I$172,'1. Datos'!I11)-1)/2</f>
        <v>57.5</v>
      </c>
      <c r="C11">
        <f>RANK('1. Datos'!J11,'1. Datos'!J$2:J$172,1)+(COUNTIF('1. Datos'!J$2:J$172,'1. Datos'!J11)-1)/2</f>
        <v>62</v>
      </c>
      <c r="D11">
        <f>RANK('1. Datos'!K11,'1. Datos'!K$2:K$172,1)+(COUNTIF('1. Datos'!K$2:K$172,'1. Datos'!K11)-1)/2</f>
        <v>92.5</v>
      </c>
      <c r="E11">
        <f>RANK('1. Datos'!L11,'1. Datos'!L$2:L$172,1)+(COUNTIF('1. Datos'!L$2:L$172,'1. Datos'!L11)-1)/2</f>
        <v>132</v>
      </c>
      <c r="F11">
        <f>RANK('1. Datos'!M11,'1. Datos'!M$2:M$172,1)+(COUNTIF('1. Datos'!M$2:M$172,'1. Datos'!M11)-1)/2</f>
        <v>139.5</v>
      </c>
      <c r="G11">
        <f>RANK('1. Datos'!N11,'1. Datos'!N$2:N$172,1)+(COUNTIF('1. Datos'!N$2:N$172,'1. Datos'!N11)-1)/2</f>
        <v>53</v>
      </c>
      <c r="H11">
        <f>RANK('1. Datos'!O11,'1. Datos'!O$2:O$172,1)+(COUNTIF('1. Datos'!O$2:O$172,'1. Datos'!O11)-1)/2</f>
        <v>126</v>
      </c>
      <c r="I11">
        <f>RANK('1. Datos'!P11,'1. Datos'!P$2:P$172,1)+(COUNTIF('1. Datos'!P$2:P$172,'1. Datos'!P11)-1)/2</f>
        <v>122</v>
      </c>
      <c r="J11">
        <f>RANK('1. Datos'!Q11,'1. Datos'!Q$2:Q$172,1)+(COUNTIF('1. Datos'!Q$2:Q$172,'1. Datos'!Q11)-1)/2</f>
        <v>38.5</v>
      </c>
      <c r="K11">
        <f>RANK('1. Datos'!R11,'1. Datos'!R$2:R$172,1)+(COUNTIF('1. Datos'!R$2:R$172,'1. Datos'!R11)-1)/2</f>
        <v>33.5</v>
      </c>
      <c r="L11">
        <f>RANK('1. Datos'!S11,'1. Datos'!S$2:S$172,1)+(COUNTIF('1. Datos'!S$2:S$172,'1. Datos'!S11)-1)/2</f>
        <v>51.5</v>
      </c>
    </row>
    <row r="12" spans="1:12" ht="15" customHeight="1" x14ac:dyDescent="0.45">
      <c r="A12">
        <f>RANK('1. Datos'!H12,'1. Datos'!H$2:H$172,1)+(COUNTIF('1. Datos'!H$2:H$172,'1. Datos'!H12)-1)/2</f>
        <v>125</v>
      </c>
      <c r="B12">
        <f>RANK('1. Datos'!I12,'1. Datos'!I$2:I$172,1)+(COUNTIF('1. Datos'!I$2:I$172,'1. Datos'!I12)-1)/2</f>
        <v>57.5</v>
      </c>
      <c r="C12">
        <f>RANK('1. Datos'!J12,'1. Datos'!J$2:J$172,1)+(COUNTIF('1. Datos'!J$2:J$172,'1. Datos'!J12)-1)/2</f>
        <v>62</v>
      </c>
      <c r="D12">
        <f>RANK('1. Datos'!K12,'1. Datos'!K$2:K$172,1)+(COUNTIF('1. Datos'!K$2:K$172,'1. Datos'!K12)-1)/2</f>
        <v>92.5</v>
      </c>
      <c r="E12">
        <f>RANK('1. Datos'!L12,'1. Datos'!L$2:L$172,1)+(COUNTIF('1. Datos'!L$2:L$172,'1. Datos'!L12)-1)/2</f>
        <v>132</v>
      </c>
      <c r="F12">
        <f>RANK('1. Datos'!M12,'1. Datos'!M$2:M$172,1)+(COUNTIF('1. Datos'!M$2:M$172,'1. Datos'!M12)-1)/2</f>
        <v>139.5</v>
      </c>
      <c r="G12">
        <f>RANK('1. Datos'!N12,'1. Datos'!N$2:N$172,1)+(COUNTIF('1. Datos'!N$2:N$172,'1. Datos'!N12)-1)/2</f>
        <v>127</v>
      </c>
      <c r="H12">
        <f>RANK('1. Datos'!O12,'1. Datos'!O$2:O$172,1)+(COUNTIF('1. Datos'!O$2:O$172,'1. Datos'!O12)-1)/2</f>
        <v>9.5</v>
      </c>
      <c r="I12">
        <f>RANK('1. Datos'!P12,'1. Datos'!P$2:P$172,1)+(COUNTIF('1. Datos'!P$2:P$172,'1. Datos'!P12)-1)/2</f>
        <v>41.5</v>
      </c>
      <c r="J12">
        <f>RANK('1. Datos'!Q12,'1. Datos'!Q$2:Q$172,1)+(COUNTIF('1. Datos'!Q$2:Q$172,'1. Datos'!Q12)-1)/2</f>
        <v>123</v>
      </c>
      <c r="K12">
        <f>RANK('1. Datos'!R12,'1. Datos'!R$2:R$172,1)+(COUNTIF('1. Datos'!R$2:R$172,'1. Datos'!R12)-1)/2</f>
        <v>33.5</v>
      </c>
      <c r="L12">
        <f>RANK('1. Datos'!S12,'1. Datos'!S$2:S$172,1)+(COUNTIF('1. Datos'!S$2:S$172,'1. Datos'!S12)-1)/2</f>
        <v>51.5</v>
      </c>
    </row>
    <row r="13" spans="1:12" ht="15" customHeight="1" x14ac:dyDescent="0.45">
      <c r="A13">
        <f>RANK('1. Datos'!H13,'1. Datos'!H$2:H$172,1)+(COUNTIF('1. Datos'!H$2:H$172,'1. Datos'!H13)-1)/2</f>
        <v>125</v>
      </c>
      <c r="B13">
        <f>RANK('1. Datos'!I13,'1. Datos'!I$2:I$172,1)+(COUNTIF('1. Datos'!I$2:I$172,'1. Datos'!I13)-1)/2</f>
        <v>138</v>
      </c>
      <c r="C13">
        <f>RANK('1. Datos'!J13,'1. Datos'!J$2:J$172,1)+(COUNTIF('1. Datos'!J$2:J$172,'1. Datos'!J13)-1)/2</f>
        <v>62</v>
      </c>
      <c r="D13">
        <f>RANK('1. Datos'!K13,'1. Datos'!K$2:K$172,1)+(COUNTIF('1. Datos'!K$2:K$172,'1. Datos'!K13)-1)/2</f>
        <v>39</v>
      </c>
      <c r="E13">
        <f>RANK('1. Datos'!L13,'1. Datos'!L$2:L$172,1)+(COUNTIF('1. Datos'!L$2:L$172,'1. Datos'!L13)-1)/2</f>
        <v>55.5</v>
      </c>
      <c r="F13">
        <f>RANK('1. Datos'!M13,'1. Datos'!M$2:M$172,1)+(COUNTIF('1. Datos'!M$2:M$172,'1. Datos'!M13)-1)/2</f>
        <v>57.5</v>
      </c>
      <c r="G13">
        <f>RANK('1. Datos'!N13,'1. Datos'!N$2:N$172,1)+(COUNTIF('1. Datos'!N$2:N$172,'1. Datos'!N13)-1)/2</f>
        <v>127</v>
      </c>
      <c r="H13">
        <f>RANK('1. Datos'!O13,'1. Datos'!O$2:O$172,1)+(COUNTIF('1. Datos'!O$2:O$172,'1. Datos'!O13)-1)/2</f>
        <v>126</v>
      </c>
      <c r="I13">
        <f>RANK('1. Datos'!P13,'1. Datos'!P$2:P$172,1)+(COUNTIF('1. Datos'!P$2:P$172,'1. Datos'!P13)-1)/2</f>
        <v>122</v>
      </c>
      <c r="J13">
        <f>RANK('1. Datos'!Q13,'1. Datos'!Q$2:Q$172,1)+(COUNTIF('1. Datos'!Q$2:Q$172,'1. Datos'!Q13)-1)/2</f>
        <v>123</v>
      </c>
      <c r="K13">
        <f>RANK('1. Datos'!R13,'1. Datos'!R$2:R$172,1)+(COUNTIF('1. Datos'!R$2:R$172,'1. Datos'!R13)-1)/2</f>
        <v>118.5</v>
      </c>
      <c r="L13">
        <f>RANK('1. Datos'!S13,'1. Datos'!S$2:S$172,1)+(COUNTIF('1. Datos'!S$2:S$172,'1. Datos'!S13)-1)/2</f>
        <v>124.5</v>
      </c>
    </row>
    <row r="14" spans="1:12" ht="15" customHeight="1" x14ac:dyDescent="0.45">
      <c r="A14">
        <f>RANK('1. Datos'!H14,'1. Datos'!H$2:H$172,1)+(COUNTIF('1. Datos'!H$2:H$172,'1. Datos'!H14)-1)/2</f>
        <v>41.5</v>
      </c>
      <c r="B14">
        <f>RANK('1. Datos'!I14,'1. Datos'!I$2:I$172,1)+(COUNTIF('1. Datos'!I$2:I$172,'1. Datos'!I14)-1)/2</f>
        <v>57.5</v>
      </c>
      <c r="C14">
        <f>RANK('1. Datos'!J14,'1. Datos'!J$2:J$172,1)+(COUNTIF('1. Datos'!J$2:J$172,'1. Datos'!J14)-1)/2</f>
        <v>10.5</v>
      </c>
      <c r="D14">
        <f>RANK('1. Datos'!K14,'1. Datos'!K$2:K$172,1)+(COUNTIF('1. Datos'!K$2:K$172,'1. Datos'!K14)-1)/2</f>
        <v>1.5</v>
      </c>
      <c r="E14">
        <f>RANK('1. Datos'!L14,'1. Datos'!L$2:L$172,1)+(COUNTIF('1. Datos'!L$2:L$172,'1. Datos'!L14)-1)/2</f>
        <v>10.5</v>
      </c>
      <c r="F14">
        <f>RANK('1. Datos'!M14,'1. Datos'!M$2:M$172,1)+(COUNTIF('1. Datos'!M$2:M$172,'1. Datos'!M14)-1)/2</f>
        <v>4</v>
      </c>
      <c r="G14">
        <f>RANK('1. Datos'!N14,'1. Datos'!N$2:N$172,1)+(COUNTIF('1. Datos'!N$2:N$172,'1. Datos'!N14)-1)/2</f>
        <v>127</v>
      </c>
      <c r="H14">
        <f>RANK('1. Datos'!O14,'1. Datos'!O$2:O$172,1)+(COUNTIF('1. Datos'!O$2:O$172,'1. Datos'!O14)-1)/2</f>
        <v>126</v>
      </c>
      <c r="I14">
        <f>RANK('1. Datos'!P14,'1. Datos'!P$2:P$172,1)+(COUNTIF('1. Datos'!P$2:P$172,'1. Datos'!P14)-1)/2</f>
        <v>41.5</v>
      </c>
      <c r="J14">
        <f>RANK('1. Datos'!Q14,'1. Datos'!Q$2:Q$172,1)+(COUNTIF('1. Datos'!Q$2:Q$172,'1. Datos'!Q14)-1)/2</f>
        <v>38.5</v>
      </c>
      <c r="K14">
        <f>RANK('1. Datos'!R14,'1. Datos'!R$2:R$172,1)+(COUNTIF('1. Datos'!R$2:R$172,'1. Datos'!R14)-1)/2</f>
        <v>118.5</v>
      </c>
      <c r="L14">
        <f>RANK('1. Datos'!S14,'1. Datos'!S$2:S$172,1)+(COUNTIF('1. Datos'!S$2:S$172,'1. Datos'!S14)-1)/2</f>
        <v>51.5</v>
      </c>
    </row>
    <row r="15" spans="1:12" ht="15" customHeight="1" x14ac:dyDescent="0.45">
      <c r="A15">
        <f>RANK('1. Datos'!H15,'1. Datos'!H$2:H$172,1)+(COUNTIF('1. Datos'!H$2:H$172,'1. Datos'!H15)-1)/2</f>
        <v>125</v>
      </c>
      <c r="B15">
        <f>RANK('1. Datos'!I15,'1. Datos'!I$2:I$172,1)+(COUNTIF('1. Datos'!I$2:I$172,'1. Datos'!I15)-1)/2</f>
        <v>138</v>
      </c>
      <c r="C15">
        <f>RANK('1. Datos'!J15,'1. Datos'!J$2:J$172,1)+(COUNTIF('1. Datos'!J$2:J$172,'1. Datos'!J15)-1)/2</f>
        <v>62</v>
      </c>
      <c r="D15">
        <f>RANK('1. Datos'!K15,'1. Datos'!K$2:K$172,1)+(COUNTIF('1. Datos'!K$2:K$172,'1. Datos'!K15)-1)/2</f>
        <v>11</v>
      </c>
      <c r="E15">
        <f>RANK('1. Datos'!L15,'1. Datos'!L$2:L$172,1)+(COUNTIF('1. Datos'!L$2:L$172,'1. Datos'!L15)-1)/2</f>
        <v>55.5</v>
      </c>
      <c r="F15">
        <f>RANK('1. Datos'!M15,'1. Datos'!M$2:M$172,1)+(COUNTIF('1. Datos'!M$2:M$172,'1. Datos'!M15)-1)/2</f>
        <v>57.5</v>
      </c>
      <c r="G15">
        <f>RANK('1. Datos'!N15,'1. Datos'!N$2:N$172,1)+(COUNTIF('1. Datos'!N$2:N$172,'1. Datos'!N15)-1)/2</f>
        <v>127</v>
      </c>
      <c r="H15">
        <f>RANK('1. Datos'!O15,'1. Datos'!O$2:O$172,1)+(COUNTIF('1. Datos'!O$2:O$172,'1. Datos'!O15)-1)/2</f>
        <v>126</v>
      </c>
      <c r="I15">
        <f>RANK('1. Datos'!P15,'1. Datos'!P$2:P$172,1)+(COUNTIF('1. Datos'!P$2:P$172,'1. Datos'!P15)-1)/2</f>
        <v>122</v>
      </c>
      <c r="J15">
        <f>RANK('1. Datos'!Q15,'1. Datos'!Q$2:Q$172,1)+(COUNTIF('1. Datos'!Q$2:Q$172,'1. Datos'!Q15)-1)/2</f>
        <v>123</v>
      </c>
      <c r="K15">
        <f>RANK('1. Datos'!R15,'1. Datos'!R$2:R$172,1)+(COUNTIF('1. Datos'!R$2:R$172,'1. Datos'!R15)-1)/2</f>
        <v>118.5</v>
      </c>
      <c r="L15">
        <f>RANK('1. Datos'!S15,'1. Datos'!S$2:S$172,1)+(COUNTIF('1. Datos'!S$2:S$172,'1. Datos'!S15)-1)/2</f>
        <v>51.5</v>
      </c>
    </row>
    <row r="16" spans="1:12" ht="15" customHeight="1" x14ac:dyDescent="0.45">
      <c r="A16">
        <f>RANK('1. Datos'!H16,'1. Datos'!H$2:H$172,1)+(COUNTIF('1. Datos'!H$2:H$172,'1. Datos'!H16)-1)/2</f>
        <v>125</v>
      </c>
      <c r="B16">
        <f>RANK('1. Datos'!I16,'1. Datos'!I$2:I$172,1)+(COUNTIF('1. Datos'!I$2:I$172,'1. Datos'!I16)-1)/2</f>
        <v>57.5</v>
      </c>
      <c r="C16">
        <f>RANK('1. Datos'!J16,'1. Datos'!J$2:J$172,1)+(COUNTIF('1. Datos'!J$2:J$172,'1. Datos'!J16)-1)/2</f>
        <v>137.5</v>
      </c>
      <c r="D16">
        <f>RANK('1. Datos'!K16,'1. Datos'!K$2:K$172,1)+(COUNTIF('1. Datos'!K$2:K$172,'1. Datos'!K16)-1)/2</f>
        <v>39</v>
      </c>
      <c r="E16">
        <f>RANK('1. Datos'!L16,'1. Datos'!L$2:L$172,1)+(COUNTIF('1. Datos'!L$2:L$172,'1. Datos'!L16)-1)/2</f>
        <v>132</v>
      </c>
      <c r="F16">
        <f>RANK('1. Datos'!M16,'1. Datos'!M$2:M$172,1)+(COUNTIF('1. Datos'!M$2:M$172,'1. Datos'!M16)-1)/2</f>
        <v>139.5</v>
      </c>
      <c r="G16">
        <f>RANK('1. Datos'!N16,'1. Datos'!N$2:N$172,1)+(COUNTIF('1. Datos'!N$2:N$172,'1. Datos'!N16)-1)/2</f>
        <v>127</v>
      </c>
      <c r="H16">
        <f>RANK('1. Datos'!O16,'1. Datos'!O$2:O$172,1)+(COUNTIF('1. Datos'!O$2:O$172,'1. Datos'!O16)-1)/2</f>
        <v>49</v>
      </c>
      <c r="I16">
        <f>RANK('1. Datos'!P16,'1. Datos'!P$2:P$172,1)+(COUNTIF('1. Datos'!P$2:P$172,'1. Datos'!P16)-1)/2</f>
        <v>122</v>
      </c>
      <c r="J16">
        <f>RANK('1. Datos'!Q16,'1. Datos'!Q$2:Q$172,1)+(COUNTIF('1. Datos'!Q$2:Q$172,'1. Datos'!Q16)-1)/2</f>
        <v>123</v>
      </c>
      <c r="K16">
        <f>RANK('1. Datos'!R16,'1. Datos'!R$2:R$172,1)+(COUNTIF('1. Datos'!R$2:R$172,'1. Datos'!R16)-1)/2</f>
        <v>118.5</v>
      </c>
      <c r="L16">
        <f>RANK('1. Datos'!S16,'1. Datos'!S$2:S$172,1)+(COUNTIF('1. Datos'!S$2:S$172,'1. Datos'!S16)-1)/2</f>
        <v>124.5</v>
      </c>
    </row>
    <row r="17" spans="1:12" ht="15" customHeight="1" x14ac:dyDescent="0.45">
      <c r="A17">
        <f>RANK('1. Datos'!H17,'1. Datos'!H$2:H$172,1)+(COUNTIF('1. Datos'!H$2:H$172,'1. Datos'!H17)-1)/2</f>
        <v>125</v>
      </c>
      <c r="B17">
        <f>RANK('1. Datos'!I17,'1. Datos'!I$2:I$172,1)+(COUNTIF('1. Datos'!I$2:I$172,'1. Datos'!I17)-1)/2</f>
        <v>138</v>
      </c>
      <c r="C17">
        <f>RANK('1. Datos'!J17,'1. Datos'!J$2:J$172,1)+(COUNTIF('1. Datos'!J$2:J$172,'1. Datos'!J17)-1)/2</f>
        <v>137.5</v>
      </c>
      <c r="D17">
        <f>RANK('1. Datos'!K17,'1. Datos'!K$2:K$172,1)+(COUNTIF('1. Datos'!K$2:K$172,'1. Datos'!K17)-1)/2</f>
        <v>92.5</v>
      </c>
      <c r="E17">
        <f>RANK('1. Datos'!L17,'1. Datos'!L$2:L$172,1)+(COUNTIF('1. Datos'!L$2:L$172,'1. Datos'!L17)-1)/2</f>
        <v>55.5</v>
      </c>
      <c r="F17">
        <f>RANK('1. Datos'!M17,'1. Datos'!M$2:M$172,1)+(COUNTIF('1. Datos'!M$2:M$172,'1. Datos'!M17)-1)/2</f>
        <v>57.5</v>
      </c>
      <c r="G17">
        <f>RANK('1. Datos'!N17,'1. Datos'!N$2:N$172,1)+(COUNTIF('1. Datos'!N$2:N$172,'1. Datos'!N17)-1)/2</f>
        <v>127</v>
      </c>
      <c r="H17">
        <f>RANK('1. Datos'!O17,'1. Datos'!O$2:O$172,1)+(COUNTIF('1. Datos'!O$2:O$172,'1. Datos'!O17)-1)/2</f>
        <v>126</v>
      </c>
      <c r="I17">
        <f>RANK('1. Datos'!P17,'1. Datos'!P$2:P$172,1)+(COUNTIF('1. Datos'!P$2:P$172,'1. Datos'!P17)-1)/2</f>
        <v>122</v>
      </c>
      <c r="J17">
        <f>RANK('1. Datos'!Q17,'1. Datos'!Q$2:Q$172,1)+(COUNTIF('1. Datos'!Q$2:Q$172,'1. Datos'!Q17)-1)/2</f>
        <v>38.5</v>
      </c>
      <c r="K17">
        <f>RANK('1. Datos'!R17,'1. Datos'!R$2:R$172,1)+(COUNTIF('1. Datos'!R$2:R$172,'1. Datos'!R17)-1)/2</f>
        <v>118.5</v>
      </c>
      <c r="L17">
        <f>RANK('1. Datos'!S17,'1. Datos'!S$2:S$172,1)+(COUNTIF('1. Datos'!S$2:S$172,'1. Datos'!S17)-1)/2</f>
        <v>124.5</v>
      </c>
    </row>
    <row r="18" spans="1:12" ht="15" customHeight="1" x14ac:dyDescent="0.45">
      <c r="A18">
        <f>RANK('1. Datos'!H18,'1. Datos'!H$2:H$172,1)+(COUNTIF('1. Datos'!H$2:H$172,'1. Datos'!H18)-1)/2</f>
        <v>125</v>
      </c>
      <c r="B18">
        <f>RANK('1. Datos'!I18,'1. Datos'!I$2:I$172,1)+(COUNTIF('1. Datos'!I$2:I$172,'1. Datos'!I18)-1)/2</f>
        <v>57.5</v>
      </c>
      <c r="C18">
        <f>RANK('1. Datos'!J18,'1. Datos'!J$2:J$172,1)+(COUNTIF('1. Datos'!J$2:J$172,'1. Datos'!J18)-1)/2</f>
        <v>137.5</v>
      </c>
      <c r="D18">
        <f>RANK('1. Datos'!K18,'1. Datos'!K$2:K$172,1)+(COUNTIF('1. Datos'!K$2:K$172,'1. Datos'!K18)-1)/2</f>
        <v>39</v>
      </c>
      <c r="E18">
        <f>RANK('1. Datos'!L18,'1. Datos'!L$2:L$172,1)+(COUNTIF('1. Datos'!L$2:L$172,'1. Datos'!L18)-1)/2</f>
        <v>55.5</v>
      </c>
      <c r="F18">
        <f>RANK('1. Datos'!M18,'1. Datos'!M$2:M$172,1)+(COUNTIF('1. Datos'!M$2:M$172,'1. Datos'!M18)-1)/2</f>
        <v>57.5</v>
      </c>
      <c r="G18">
        <f>RANK('1. Datos'!N18,'1. Datos'!N$2:N$172,1)+(COUNTIF('1. Datos'!N$2:N$172,'1. Datos'!N18)-1)/2</f>
        <v>53</v>
      </c>
      <c r="H18">
        <f>RANK('1. Datos'!O18,'1. Datos'!O$2:O$172,1)+(COUNTIF('1. Datos'!O$2:O$172,'1. Datos'!O18)-1)/2</f>
        <v>126</v>
      </c>
      <c r="I18">
        <f>RANK('1. Datos'!P18,'1. Datos'!P$2:P$172,1)+(COUNTIF('1. Datos'!P$2:P$172,'1. Datos'!P18)-1)/2</f>
        <v>122</v>
      </c>
      <c r="J18">
        <f>RANK('1. Datos'!Q18,'1. Datos'!Q$2:Q$172,1)+(COUNTIF('1. Datos'!Q$2:Q$172,'1. Datos'!Q18)-1)/2</f>
        <v>123</v>
      </c>
      <c r="K18">
        <f>RANK('1. Datos'!R18,'1. Datos'!R$2:R$172,1)+(COUNTIF('1. Datos'!R$2:R$172,'1. Datos'!R18)-1)/2</f>
        <v>33.5</v>
      </c>
      <c r="L18">
        <f>RANK('1. Datos'!S18,'1. Datos'!S$2:S$172,1)+(COUNTIF('1. Datos'!S$2:S$172,'1. Datos'!S18)-1)/2</f>
        <v>124.5</v>
      </c>
    </row>
    <row r="19" spans="1:12" ht="15" customHeight="1" x14ac:dyDescent="0.45">
      <c r="A19">
        <f>RANK('1. Datos'!H19,'1. Datos'!H$2:H$172,1)+(COUNTIF('1. Datos'!H$2:H$172,'1. Datos'!H19)-1)/2</f>
        <v>125</v>
      </c>
      <c r="B19">
        <f>RANK('1. Datos'!I19,'1. Datos'!I$2:I$172,1)+(COUNTIF('1. Datos'!I$2:I$172,'1. Datos'!I19)-1)/2</f>
        <v>138</v>
      </c>
      <c r="C19">
        <f>RANK('1. Datos'!J19,'1. Datos'!J$2:J$172,1)+(COUNTIF('1. Datos'!J$2:J$172,'1. Datos'!J19)-1)/2</f>
        <v>62</v>
      </c>
      <c r="D19">
        <f>RANK('1. Datos'!K19,'1. Datos'!K$2:K$172,1)+(COUNTIF('1. Datos'!K$2:K$172,'1. Datos'!K19)-1)/2</f>
        <v>92.5</v>
      </c>
      <c r="E19">
        <f>RANK('1. Datos'!L19,'1. Datos'!L$2:L$172,1)+(COUNTIF('1. Datos'!L$2:L$172,'1. Datos'!L19)-1)/2</f>
        <v>55.5</v>
      </c>
      <c r="F19">
        <f>RANK('1. Datos'!M19,'1. Datos'!M$2:M$172,1)+(COUNTIF('1. Datos'!M$2:M$172,'1. Datos'!M19)-1)/2</f>
        <v>57.5</v>
      </c>
      <c r="G19">
        <f>RANK('1. Datos'!N19,'1. Datos'!N$2:N$172,1)+(COUNTIF('1. Datos'!N$2:N$172,'1. Datos'!N19)-1)/2</f>
        <v>127</v>
      </c>
      <c r="H19">
        <f>RANK('1. Datos'!O19,'1. Datos'!O$2:O$172,1)+(COUNTIF('1. Datos'!O$2:O$172,'1. Datos'!O19)-1)/2</f>
        <v>126</v>
      </c>
      <c r="I19">
        <f>RANK('1. Datos'!P19,'1. Datos'!P$2:P$172,1)+(COUNTIF('1. Datos'!P$2:P$172,'1. Datos'!P19)-1)/2</f>
        <v>41.5</v>
      </c>
      <c r="J19">
        <f>RANK('1. Datos'!Q19,'1. Datos'!Q$2:Q$172,1)+(COUNTIF('1. Datos'!Q$2:Q$172,'1. Datos'!Q19)-1)/2</f>
        <v>123</v>
      </c>
      <c r="K19">
        <f>RANK('1. Datos'!R19,'1. Datos'!R$2:R$172,1)+(COUNTIF('1. Datos'!R$2:R$172,'1. Datos'!R19)-1)/2</f>
        <v>33.5</v>
      </c>
      <c r="L19">
        <f>RANK('1. Datos'!S19,'1. Datos'!S$2:S$172,1)+(COUNTIF('1. Datos'!S$2:S$172,'1. Datos'!S19)-1)/2</f>
        <v>124.5</v>
      </c>
    </row>
    <row r="20" spans="1:12" ht="15" customHeight="1" x14ac:dyDescent="0.45">
      <c r="A20">
        <f>RANK('1. Datos'!H20,'1. Datos'!H$2:H$172,1)+(COUNTIF('1. Datos'!H$2:H$172,'1. Datos'!H20)-1)/2</f>
        <v>41.5</v>
      </c>
      <c r="B20">
        <f>RANK('1. Datos'!I20,'1. Datos'!I$2:I$172,1)+(COUNTIF('1. Datos'!I$2:I$172,'1. Datos'!I20)-1)/2</f>
        <v>57.5</v>
      </c>
      <c r="C20">
        <f>RANK('1. Datos'!J20,'1. Datos'!J$2:J$172,1)+(COUNTIF('1. Datos'!J$2:J$172,'1. Datos'!J20)-1)/2</f>
        <v>62</v>
      </c>
      <c r="D20">
        <f>RANK('1. Datos'!K20,'1. Datos'!K$2:K$172,1)+(COUNTIF('1. Datos'!K$2:K$172,'1. Datos'!K20)-1)/2</f>
        <v>39</v>
      </c>
      <c r="E20">
        <f>RANK('1. Datos'!L20,'1. Datos'!L$2:L$172,1)+(COUNTIF('1. Datos'!L$2:L$172,'1. Datos'!L20)-1)/2</f>
        <v>132</v>
      </c>
      <c r="F20">
        <f>RANK('1. Datos'!M20,'1. Datos'!M$2:M$172,1)+(COUNTIF('1. Datos'!M$2:M$172,'1. Datos'!M20)-1)/2</f>
        <v>139.5</v>
      </c>
      <c r="G20">
        <f>RANK('1. Datos'!N20,'1. Datos'!N$2:N$172,1)+(COUNTIF('1. Datos'!N$2:N$172,'1. Datos'!N20)-1)/2</f>
        <v>127</v>
      </c>
      <c r="H20">
        <f>RANK('1. Datos'!O20,'1. Datos'!O$2:O$172,1)+(COUNTIF('1. Datos'!O$2:O$172,'1. Datos'!O20)-1)/2</f>
        <v>126</v>
      </c>
      <c r="I20">
        <f>RANK('1. Datos'!P20,'1. Datos'!P$2:P$172,1)+(COUNTIF('1. Datos'!P$2:P$172,'1. Datos'!P20)-1)/2</f>
        <v>122</v>
      </c>
      <c r="J20">
        <f>RANK('1. Datos'!Q20,'1. Datos'!Q$2:Q$172,1)+(COUNTIF('1. Datos'!Q$2:Q$172,'1. Datos'!Q20)-1)/2</f>
        <v>123</v>
      </c>
      <c r="K20">
        <f>RANK('1. Datos'!R20,'1. Datos'!R$2:R$172,1)+(COUNTIF('1. Datos'!R$2:R$172,'1. Datos'!R20)-1)/2</f>
        <v>118.5</v>
      </c>
      <c r="L20">
        <f>RANK('1. Datos'!S20,'1. Datos'!S$2:S$172,1)+(COUNTIF('1. Datos'!S$2:S$172,'1. Datos'!S20)-1)/2</f>
        <v>124.5</v>
      </c>
    </row>
    <row r="21" spans="1:12" ht="15" customHeight="1" x14ac:dyDescent="0.45">
      <c r="A21">
        <f>RANK('1. Datos'!H21,'1. Datos'!H$2:H$172,1)+(COUNTIF('1. Datos'!H$2:H$172,'1. Datos'!H21)-1)/2</f>
        <v>125</v>
      </c>
      <c r="B21">
        <f>RANK('1. Datos'!I21,'1. Datos'!I$2:I$172,1)+(COUNTIF('1. Datos'!I$2:I$172,'1. Datos'!I21)-1)/2</f>
        <v>138</v>
      </c>
      <c r="C21">
        <f>RANK('1. Datos'!J21,'1. Datos'!J$2:J$172,1)+(COUNTIF('1. Datos'!J$2:J$172,'1. Datos'!J21)-1)/2</f>
        <v>62</v>
      </c>
      <c r="D21">
        <f>RANK('1. Datos'!K21,'1. Datos'!K$2:K$172,1)+(COUNTIF('1. Datos'!K$2:K$172,'1. Datos'!K21)-1)/2</f>
        <v>149</v>
      </c>
      <c r="E21">
        <f>RANK('1. Datos'!L21,'1. Datos'!L$2:L$172,1)+(COUNTIF('1. Datos'!L$2:L$172,'1. Datos'!L21)-1)/2</f>
        <v>132</v>
      </c>
      <c r="F21">
        <f>RANK('1. Datos'!M21,'1. Datos'!M$2:M$172,1)+(COUNTIF('1. Datos'!M$2:M$172,'1. Datos'!M21)-1)/2</f>
        <v>57.5</v>
      </c>
      <c r="G21">
        <f>RANK('1. Datos'!N21,'1. Datos'!N$2:N$172,1)+(COUNTIF('1. Datos'!N$2:N$172,'1. Datos'!N21)-1)/2</f>
        <v>53</v>
      </c>
      <c r="H21">
        <f>RANK('1. Datos'!O21,'1. Datos'!O$2:O$172,1)+(COUNTIF('1. Datos'!O$2:O$172,'1. Datos'!O21)-1)/2</f>
        <v>49</v>
      </c>
      <c r="I21">
        <f>RANK('1. Datos'!P21,'1. Datos'!P$2:P$172,1)+(COUNTIF('1. Datos'!P$2:P$172,'1. Datos'!P21)-1)/2</f>
        <v>122</v>
      </c>
      <c r="J21">
        <f>RANK('1. Datos'!Q21,'1. Datos'!Q$2:Q$172,1)+(COUNTIF('1. Datos'!Q$2:Q$172,'1. Datos'!Q21)-1)/2</f>
        <v>38.5</v>
      </c>
      <c r="K21">
        <f>RANK('1. Datos'!R21,'1. Datos'!R$2:R$172,1)+(COUNTIF('1. Datos'!R$2:R$172,'1. Datos'!R21)-1)/2</f>
        <v>118.5</v>
      </c>
      <c r="L21">
        <f>RANK('1. Datos'!S21,'1. Datos'!S$2:S$172,1)+(COUNTIF('1. Datos'!S$2:S$172,'1. Datos'!S21)-1)/2</f>
        <v>124.5</v>
      </c>
    </row>
    <row r="22" spans="1:12" ht="15" customHeight="1" x14ac:dyDescent="0.45">
      <c r="A22">
        <f>RANK('1. Datos'!H22,'1. Datos'!H$2:H$172,1)+(COUNTIF('1. Datos'!H$2:H$172,'1. Datos'!H22)-1)/2</f>
        <v>125</v>
      </c>
      <c r="B22">
        <f>RANK('1. Datos'!I22,'1. Datos'!I$2:I$172,1)+(COUNTIF('1. Datos'!I$2:I$172,'1. Datos'!I22)-1)/2</f>
        <v>57.5</v>
      </c>
      <c r="C22">
        <f>RANK('1. Datos'!J22,'1. Datos'!J$2:J$172,1)+(COUNTIF('1. Datos'!J$2:J$172,'1. Datos'!J22)-1)/2</f>
        <v>62</v>
      </c>
      <c r="D22">
        <f>RANK('1. Datos'!K22,'1. Datos'!K$2:K$172,1)+(COUNTIF('1. Datos'!K$2:K$172,'1. Datos'!K22)-1)/2</f>
        <v>92.5</v>
      </c>
      <c r="E22">
        <f>RANK('1. Datos'!L22,'1. Datos'!L$2:L$172,1)+(COUNTIF('1. Datos'!L$2:L$172,'1. Datos'!L22)-1)/2</f>
        <v>55.5</v>
      </c>
      <c r="F22">
        <f>RANK('1. Datos'!M22,'1. Datos'!M$2:M$172,1)+(COUNTIF('1. Datos'!M$2:M$172,'1. Datos'!M22)-1)/2</f>
        <v>57.5</v>
      </c>
      <c r="G22">
        <f>RANK('1. Datos'!N22,'1. Datos'!N$2:N$172,1)+(COUNTIF('1. Datos'!N$2:N$172,'1. Datos'!N22)-1)/2</f>
        <v>127</v>
      </c>
      <c r="H22">
        <f>RANK('1. Datos'!O22,'1. Datos'!O$2:O$172,1)+(COUNTIF('1. Datos'!O$2:O$172,'1. Datos'!O22)-1)/2</f>
        <v>126</v>
      </c>
      <c r="I22">
        <f>RANK('1. Datos'!P22,'1. Datos'!P$2:P$172,1)+(COUNTIF('1. Datos'!P$2:P$172,'1. Datos'!P22)-1)/2</f>
        <v>122</v>
      </c>
      <c r="J22">
        <f>RANK('1. Datos'!Q22,'1. Datos'!Q$2:Q$172,1)+(COUNTIF('1. Datos'!Q$2:Q$172,'1. Datos'!Q22)-1)/2</f>
        <v>123</v>
      </c>
      <c r="K22">
        <f>RANK('1. Datos'!R22,'1. Datos'!R$2:R$172,1)+(COUNTIF('1. Datos'!R$2:R$172,'1. Datos'!R22)-1)/2</f>
        <v>118.5</v>
      </c>
      <c r="L22">
        <f>RANK('1. Datos'!S22,'1. Datos'!S$2:S$172,1)+(COUNTIF('1. Datos'!S$2:S$172,'1. Datos'!S22)-1)/2</f>
        <v>124.5</v>
      </c>
    </row>
    <row r="23" spans="1:12" ht="15" customHeight="1" x14ac:dyDescent="0.45">
      <c r="A23">
        <f>RANK('1. Datos'!H23,'1. Datos'!H$2:H$172,1)+(COUNTIF('1. Datos'!H$2:H$172,'1. Datos'!H23)-1)/2</f>
        <v>125</v>
      </c>
      <c r="B23">
        <f>RANK('1. Datos'!I23,'1. Datos'!I$2:I$172,1)+(COUNTIF('1. Datos'!I$2:I$172,'1. Datos'!I23)-1)/2</f>
        <v>57.5</v>
      </c>
      <c r="C23">
        <f>RANK('1. Datos'!J23,'1. Datos'!J$2:J$172,1)+(COUNTIF('1. Datos'!J$2:J$172,'1. Datos'!J23)-1)/2</f>
        <v>10.5</v>
      </c>
      <c r="D23">
        <f>RANK('1. Datos'!K23,'1. Datos'!K$2:K$172,1)+(COUNTIF('1. Datos'!K$2:K$172,'1. Datos'!K23)-1)/2</f>
        <v>11</v>
      </c>
      <c r="E23">
        <f>RANK('1. Datos'!L23,'1. Datos'!L$2:L$172,1)+(COUNTIF('1. Datos'!L$2:L$172,'1. Datos'!L23)-1)/2</f>
        <v>10.5</v>
      </c>
      <c r="F23">
        <f>RANK('1. Datos'!M23,'1. Datos'!M$2:M$172,1)+(COUNTIF('1. Datos'!M$2:M$172,'1. Datos'!M23)-1)/2</f>
        <v>57.5</v>
      </c>
      <c r="G23">
        <f>RANK('1. Datos'!N23,'1. Datos'!N$2:N$172,1)+(COUNTIF('1. Datos'!N$2:N$172,'1. Datos'!N23)-1)/2</f>
        <v>127</v>
      </c>
      <c r="H23">
        <f>RANK('1. Datos'!O23,'1. Datos'!O$2:O$172,1)+(COUNTIF('1. Datos'!O$2:O$172,'1. Datos'!O23)-1)/2</f>
        <v>126</v>
      </c>
      <c r="I23">
        <f>RANK('1. Datos'!P23,'1. Datos'!P$2:P$172,1)+(COUNTIF('1. Datos'!P$2:P$172,'1. Datos'!P23)-1)/2</f>
        <v>122</v>
      </c>
      <c r="J23">
        <f>RANK('1. Datos'!Q23,'1. Datos'!Q$2:Q$172,1)+(COUNTIF('1. Datos'!Q$2:Q$172,'1. Datos'!Q23)-1)/2</f>
        <v>123</v>
      </c>
      <c r="K23">
        <f>RANK('1. Datos'!R23,'1. Datos'!R$2:R$172,1)+(COUNTIF('1. Datos'!R$2:R$172,'1. Datos'!R23)-1)/2</f>
        <v>118.5</v>
      </c>
      <c r="L23">
        <f>RANK('1. Datos'!S23,'1. Datos'!S$2:S$172,1)+(COUNTIF('1. Datos'!S$2:S$172,'1. Datos'!S23)-1)/2</f>
        <v>124.5</v>
      </c>
    </row>
    <row r="24" spans="1:12" ht="15" customHeight="1" x14ac:dyDescent="0.45">
      <c r="A24">
        <f>RANK('1. Datos'!H24,'1. Datos'!H$2:H$172,1)+(COUNTIF('1. Datos'!H$2:H$172,'1. Datos'!H24)-1)/2</f>
        <v>41.5</v>
      </c>
      <c r="B24">
        <f>RANK('1. Datos'!I24,'1. Datos'!I$2:I$172,1)+(COUNTIF('1. Datos'!I$2:I$172,'1. Datos'!I24)-1)/2</f>
        <v>57.5</v>
      </c>
      <c r="C24">
        <f>RANK('1. Datos'!J24,'1. Datos'!J$2:J$172,1)+(COUNTIF('1. Datos'!J$2:J$172,'1. Datos'!J24)-1)/2</f>
        <v>137.5</v>
      </c>
      <c r="D24">
        <f>RANK('1. Datos'!K24,'1. Datos'!K$2:K$172,1)+(COUNTIF('1. Datos'!K$2:K$172,'1. Datos'!K24)-1)/2</f>
        <v>149</v>
      </c>
      <c r="E24">
        <f>RANK('1. Datos'!L24,'1. Datos'!L$2:L$172,1)+(COUNTIF('1. Datos'!L$2:L$172,'1. Datos'!L24)-1)/2</f>
        <v>132</v>
      </c>
      <c r="F24">
        <f>RANK('1. Datos'!M24,'1. Datos'!M$2:M$172,1)+(COUNTIF('1. Datos'!M$2:M$172,'1. Datos'!M24)-1)/2</f>
        <v>139.5</v>
      </c>
      <c r="G24">
        <f>RANK('1. Datos'!N24,'1. Datos'!N$2:N$172,1)+(COUNTIF('1. Datos'!N$2:N$172,'1. Datos'!N24)-1)/2</f>
        <v>53</v>
      </c>
      <c r="H24">
        <f>RANK('1. Datos'!O24,'1. Datos'!O$2:O$172,1)+(COUNTIF('1. Datos'!O$2:O$172,'1. Datos'!O24)-1)/2</f>
        <v>126</v>
      </c>
      <c r="I24">
        <f>RANK('1. Datos'!P24,'1. Datos'!P$2:P$172,1)+(COUNTIF('1. Datos'!P$2:P$172,'1. Datos'!P24)-1)/2</f>
        <v>122</v>
      </c>
      <c r="J24">
        <f>RANK('1. Datos'!Q24,'1. Datos'!Q$2:Q$172,1)+(COUNTIF('1. Datos'!Q$2:Q$172,'1. Datos'!Q24)-1)/2</f>
        <v>123</v>
      </c>
      <c r="K24">
        <f>RANK('1. Datos'!R24,'1. Datos'!R$2:R$172,1)+(COUNTIF('1. Datos'!R$2:R$172,'1. Datos'!R24)-1)/2</f>
        <v>118.5</v>
      </c>
      <c r="L24">
        <f>RANK('1. Datos'!S24,'1. Datos'!S$2:S$172,1)+(COUNTIF('1. Datos'!S$2:S$172,'1. Datos'!S24)-1)/2</f>
        <v>124.5</v>
      </c>
    </row>
    <row r="25" spans="1:12" ht="15" customHeight="1" x14ac:dyDescent="0.45">
      <c r="A25">
        <f>RANK('1. Datos'!H25,'1. Datos'!H$2:H$172,1)+(COUNTIF('1. Datos'!H$2:H$172,'1. Datos'!H25)-1)/2</f>
        <v>125</v>
      </c>
      <c r="B25">
        <f>RANK('1. Datos'!I25,'1. Datos'!I$2:I$172,1)+(COUNTIF('1. Datos'!I$2:I$172,'1. Datos'!I25)-1)/2</f>
        <v>57.5</v>
      </c>
      <c r="C25">
        <f>RANK('1. Datos'!J25,'1. Datos'!J$2:J$172,1)+(COUNTIF('1. Datos'!J$2:J$172,'1. Datos'!J25)-1)/2</f>
        <v>62</v>
      </c>
      <c r="D25">
        <f>RANK('1. Datos'!K25,'1. Datos'!K$2:K$172,1)+(COUNTIF('1. Datos'!K$2:K$172,'1. Datos'!K25)-1)/2</f>
        <v>92.5</v>
      </c>
      <c r="E25">
        <f>RANK('1. Datos'!L25,'1. Datos'!L$2:L$172,1)+(COUNTIF('1. Datos'!L$2:L$172,'1. Datos'!L25)-1)/2</f>
        <v>55.5</v>
      </c>
      <c r="F25">
        <f>RANK('1. Datos'!M25,'1. Datos'!M$2:M$172,1)+(COUNTIF('1. Datos'!M$2:M$172,'1. Datos'!M25)-1)/2</f>
        <v>139.5</v>
      </c>
      <c r="G25">
        <f>RANK('1. Datos'!N25,'1. Datos'!N$2:N$172,1)+(COUNTIF('1. Datos'!N$2:N$172,'1. Datos'!N25)-1)/2</f>
        <v>53</v>
      </c>
      <c r="H25">
        <f>RANK('1. Datos'!O25,'1. Datos'!O$2:O$172,1)+(COUNTIF('1. Datos'!O$2:O$172,'1. Datos'!O25)-1)/2</f>
        <v>126</v>
      </c>
      <c r="I25">
        <f>RANK('1. Datos'!P25,'1. Datos'!P$2:P$172,1)+(COUNTIF('1. Datos'!P$2:P$172,'1. Datos'!P25)-1)/2</f>
        <v>122</v>
      </c>
      <c r="J25">
        <f>RANK('1. Datos'!Q25,'1. Datos'!Q$2:Q$172,1)+(COUNTIF('1. Datos'!Q$2:Q$172,'1. Datos'!Q25)-1)/2</f>
        <v>123</v>
      </c>
      <c r="K25">
        <f>RANK('1. Datos'!R25,'1. Datos'!R$2:R$172,1)+(COUNTIF('1. Datos'!R$2:R$172,'1. Datos'!R25)-1)/2</f>
        <v>118.5</v>
      </c>
      <c r="L25">
        <f>RANK('1. Datos'!S25,'1. Datos'!S$2:S$172,1)+(COUNTIF('1. Datos'!S$2:S$172,'1. Datos'!S25)-1)/2</f>
        <v>124.5</v>
      </c>
    </row>
    <row r="26" spans="1:12" ht="15" customHeight="1" x14ac:dyDescent="0.45">
      <c r="A26">
        <f>RANK('1. Datos'!H26,'1. Datos'!H$2:H$172,1)+(COUNTIF('1. Datos'!H$2:H$172,'1. Datos'!H26)-1)/2</f>
        <v>2.5</v>
      </c>
      <c r="B26">
        <f>RANK('1. Datos'!I26,'1. Datos'!I$2:I$172,1)+(COUNTIF('1. Datos'!I$2:I$172,'1. Datos'!I26)-1)/2</f>
        <v>5.5</v>
      </c>
      <c r="C26">
        <f>RANK('1. Datos'!J26,'1. Datos'!J$2:J$172,1)+(COUNTIF('1. Datos'!J$2:J$172,'1. Datos'!J26)-1)/2</f>
        <v>62</v>
      </c>
      <c r="D26">
        <f>RANK('1. Datos'!K26,'1. Datos'!K$2:K$172,1)+(COUNTIF('1. Datos'!K$2:K$172,'1. Datos'!K26)-1)/2</f>
        <v>92.5</v>
      </c>
      <c r="E26">
        <f>RANK('1. Datos'!L26,'1. Datos'!L$2:L$172,1)+(COUNTIF('1. Datos'!L$2:L$172,'1. Datos'!L26)-1)/2</f>
        <v>10.5</v>
      </c>
      <c r="F26">
        <f>RANK('1. Datos'!M26,'1. Datos'!M$2:M$172,1)+(COUNTIF('1. Datos'!M$2:M$172,'1. Datos'!M26)-1)/2</f>
        <v>57.5</v>
      </c>
      <c r="G26">
        <f>RANK('1. Datos'!N26,'1. Datos'!N$2:N$172,1)+(COUNTIF('1. Datos'!N$2:N$172,'1. Datos'!N26)-1)/2</f>
        <v>127</v>
      </c>
      <c r="H26">
        <f>RANK('1. Datos'!O26,'1. Datos'!O$2:O$172,1)+(COUNTIF('1. Datos'!O$2:O$172,'1. Datos'!O26)-1)/2</f>
        <v>126</v>
      </c>
      <c r="I26">
        <f>RANK('1. Datos'!P26,'1. Datos'!P$2:P$172,1)+(COUNTIF('1. Datos'!P$2:P$172,'1. Datos'!P26)-1)/2</f>
        <v>122</v>
      </c>
      <c r="J26">
        <f>RANK('1. Datos'!Q26,'1. Datos'!Q$2:Q$172,1)+(COUNTIF('1. Datos'!Q$2:Q$172,'1. Datos'!Q26)-1)/2</f>
        <v>38.5</v>
      </c>
      <c r="K26">
        <f>RANK('1. Datos'!R26,'1. Datos'!R$2:R$172,1)+(COUNTIF('1. Datos'!R$2:R$172,'1. Datos'!R26)-1)/2</f>
        <v>118.5</v>
      </c>
      <c r="L26">
        <f>RANK('1. Datos'!S26,'1. Datos'!S$2:S$172,1)+(COUNTIF('1. Datos'!S$2:S$172,'1. Datos'!S26)-1)/2</f>
        <v>124.5</v>
      </c>
    </row>
    <row r="27" spans="1:12" ht="15" customHeight="1" x14ac:dyDescent="0.45">
      <c r="A27">
        <f>RANK('1. Datos'!H27,'1. Datos'!H$2:H$172,1)+(COUNTIF('1. Datos'!H$2:H$172,'1. Datos'!H27)-1)/2</f>
        <v>125</v>
      </c>
      <c r="B27">
        <f>RANK('1. Datos'!I27,'1. Datos'!I$2:I$172,1)+(COUNTIF('1. Datos'!I$2:I$172,'1. Datos'!I27)-1)/2</f>
        <v>57.5</v>
      </c>
      <c r="C27">
        <f>RANK('1. Datos'!J27,'1. Datos'!J$2:J$172,1)+(COUNTIF('1. Datos'!J$2:J$172,'1. Datos'!J27)-1)/2</f>
        <v>62</v>
      </c>
      <c r="D27">
        <f>RANK('1. Datos'!K27,'1. Datos'!K$2:K$172,1)+(COUNTIF('1. Datos'!K$2:K$172,'1. Datos'!K27)-1)/2</f>
        <v>92.5</v>
      </c>
      <c r="E27">
        <f>RANK('1. Datos'!L27,'1. Datos'!L$2:L$172,1)+(COUNTIF('1. Datos'!L$2:L$172,'1. Datos'!L27)-1)/2</f>
        <v>132</v>
      </c>
      <c r="F27">
        <f>RANK('1. Datos'!M27,'1. Datos'!M$2:M$172,1)+(COUNTIF('1. Datos'!M$2:M$172,'1. Datos'!M27)-1)/2</f>
        <v>57.5</v>
      </c>
      <c r="G27">
        <f>RANK('1. Datos'!N27,'1. Datos'!N$2:N$172,1)+(COUNTIF('1. Datos'!N$2:N$172,'1. Datos'!N27)-1)/2</f>
        <v>53</v>
      </c>
      <c r="H27">
        <f>RANK('1. Datos'!O27,'1. Datos'!O$2:O$172,1)+(COUNTIF('1. Datos'!O$2:O$172,'1. Datos'!O27)-1)/2</f>
        <v>126</v>
      </c>
      <c r="I27">
        <f>RANK('1. Datos'!P27,'1. Datos'!P$2:P$172,1)+(COUNTIF('1. Datos'!P$2:P$172,'1. Datos'!P27)-1)/2</f>
        <v>122</v>
      </c>
      <c r="J27">
        <f>RANK('1. Datos'!Q27,'1. Datos'!Q$2:Q$172,1)+(COUNTIF('1. Datos'!Q$2:Q$172,'1. Datos'!Q27)-1)/2</f>
        <v>38.5</v>
      </c>
      <c r="K27">
        <f>RANK('1. Datos'!R27,'1. Datos'!R$2:R$172,1)+(COUNTIF('1. Datos'!R$2:R$172,'1. Datos'!R27)-1)/2</f>
        <v>33.5</v>
      </c>
      <c r="L27">
        <f>RANK('1. Datos'!S27,'1. Datos'!S$2:S$172,1)+(COUNTIF('1. Datos'!S$2:S$172,'1. Datos'!S27)-1)/2</f>
        <v>124.5</v>
      </c>
    </row>
    <row r="28" spans="1:12" ht="15" customHeight="1" x14ac:dyDescent="0.45">
      <c r="A28">
        <f>RANK('1. Datos'!H28,'1. Datos'!H$2:H$172,1)+(COUNTIF('1. Datos'!H$2:H$172,'1. Datos'!H28)-1)/2</f>
        <v>125</v>
      </c>
      <c r="B28">
        <f>RANK('1. Datos'!I28,'1. Datos'!I$2:I$172,1)+(COUNTIF('1. Datos'!I$2:I$172,'1. Datos'!I28)-1)/2</f>
        <v>57.5</v>
      </c>
      <c r="C28">
        <f>RANK('1. Datos'!J28,'1. Datos'!J$2:J$172,1)+(COUNTIF('1. Datos'!J$2:J$172,'1. Datos'!J28)-1)/2</f>
        <v>62</v>
      </c>
      <c r="D28">
        <f>RANK('1. Datos'!K28,'1. Datos'!K$2:K$172,1)+(COUNTIF('1. Datos'!K$2:K$172,'1. Datos'!K28)-1)/2</f>
        <v>39</v>
      </c>
      <c r="E28">
        <f>RANK('1. Datos'!L28,'1. Datos'!L$2:L$172,1)+(COUNTIF('1. Datos'!L$2:L$172,'1. Datos'!L28)-1)/2</f>
        <v>55.5</v>
      </c>
      <c r="F28">
        <f>RANK('1. Datos'!M28,'1. Datos'!M$2:M$172,1)+(COUNTIF('1. Datos'!M$2:M$172,'1. Datos'!M28)-1)/2</f>
        <v>57.5</v>
      </c>
      <c r="G28">
        <f>RANK('1. Datos'!N28,'1. Datos'!N$2:N$172,1)+(COUNTIF('1. Datos'!N$2:N$172,'1. Datos'!N28)-1)/2</f>
        <v>53</v>
      </c>
      <c r="H28">
        <f>RANK('1. Datos'!O28,'1. Datos'!O$2:O$172,1)+(COUNTIF('1. Datos'!O$2:O$172,'1. Datos'!O28)-1)/2</f>
        <v>49</v>
      </c>
      <c r="I28">
        <f>RANK('1. Datos'!P28,'1. Datos'!P$2:P$172,1)+(COUNTIF('1. Datos'!P$2:P$172,'1. Datos'!P28)-1)/2</f>
        <v>122</v>
      </c>
      <c r="J28">
        <f>RANK('1. Datos'!Q28,'1. Datos'!Q$2:Q$172,1)+(COUNTIF('1. Datos'!Q$2:Q$172,'1. Datos'!Q28)-1)/2</f>
        <v>123</v>
      </c>
      <c r="K28">
        <f>RANK('1. Datos'!R28,'1. Datos'!R$2:R$172,1)+(COUNTIF('1. Datos'!R$2:R$172,'1. Datos'!R28)-1)/2</f>
        <v>118.5</v>
      </c>
      <c r="L28">
        <f>RANK('1. Datos'!S28,'1. Datos'!S$2:S$172,1)+(COUNTIF('1. Datos'!S$2:S$172,'1. Datos'!S28)-1)/2</f>
        <v>51.5</v>
      </c>
    </row>
    <row r="29" spans="1:12" ht="15" customHeight="1" x14ac:dyDescent="0.45">
      <c r="A29">
        <f>RANK('1. Datos'!H29,'1. Datos'!H$2:H$172,1)+(COUNTIF('1. Datos'!H$2:H$172,'1. Datos'!H29)-1)/2</f>
        <v>125</v>
      </c>
      <c r="B29">
        <f>RANK('1. Datos'!I29,'1. Datos'!I$2:I$172,1)+(COUNTIF('1. Datos'!I$2:I$172,'1. Datos'!I29)-1)/2</f>
        <v>57.5</v>
      </c>
      <c r="C29">
        <f>RANK('1. Datos'!J29,'1. Datos'!J$2:J$172,1)+(COUNTIF('1. Datos'!J$2:J$172,'1. Datos'!J29)-1)/2</f>
        <v>137.5</v>
      </c>
      <c r="D29">
        <f>RANK('1. Datos'!K29,'1. Datos'!K$2:K$172,1)+(COUNTIF('1. Datos'!K$2:K$172,'1. Datos'!K29)-1)/2</f>
        <v>11</v>
      </c>
      <c r="E29">
        <f>RANK('1. Datos'!L29,'1. Datos'!L$2:L$172,1)+(COUNTIF('1. Datos'!L$2:L$172,'1. Datos'!L29)-1)/2</f>
        <v>1.5</v>
      </c>
      <c r="F29">
        <f>RANK('1. Datos'!M29,'1. Datos'!M$2:M$172,1)+(COUNTIF('1. Datos'!M$2:M$172,'1. Datos'!M29)-1)/2</f>
        <v>4</v>
      </c>
      <c r="G29">
        <f>RANK('1. Datos'!N29,'1. Datos'!N$2:N$172,1)+(COUNTIF('1. Datos'!N$2:N$172,'1. Datos'!N29)-1)/2</f>
        <v>127</v>
      </c>
      <c r="H29">
        <f>RANK('1. Datos'!O29,'1. Datos'!O$2:O$172,1)+(COUNTIF('1. Datos'!O$2:O$172,'1. Datos'!O29)-1)/2</f>
        <v>126</v>
      </c>
      <c r="I29">
        <f>RANK('1. Datos'!P29,'1. Datos'!P$2:P$172,1)+(COUNTIF('1. Datos'!P$2:P$172,'1. Datos'!P29)-1)/2</f>
        <v>122</v>
      </c>
      <c r="J29">
        <f>RANK('1. Datos'!Q29,'1. Datos'!Q$2:Q$172,1)+(COUNTIF('1. Datos'!Q$2:Q$172,'1. Datos'!Q29)-1)/2</f>
        <v>123</v>
      </c>
      <c r="K29">
        <f>RANK('1. Datos'!R29,'1. Datos'!R$2:R$172,1)+(COUNTIF('1. Datos'!R$2:R$172,'1. Datos'!R29)-1)/2</f>
        <v>118.5</v>
      </c>
      <c r="L29">
        <f>RANK('1. Datos'!S29,'1. Datos'!S$2:S$172,1)+(COUNTIF('1. Datos'!S$2:S$172,'1. Datos'!S29)-1)/2</f>
        <v>124.5</v>
      </c>
    </row>
    <row r="30" spans="1:12" ht="15" customHeight="1" x14ac:dyDescent="0.45">
      <c r="A30">
        <f>RANK('1. Datos'!H30,'1. Datos'!H$2:H$172,1)+(COUNTIF('1. Datos'!H$2:H$172,'1. Datos'!H30)-1)/2</f>
        <v>125</v>
      </c>
      <c r="B30">
        <f>RANK('1. Datos'!I30,'1. Datos'!I$2:I$172,1)+(COUNTIF('1. Datos'!I$2:I$172,'1. Datos'!I30)-1)/2</f>
        <v>138</v>
      </c>
      <c r="C30">
        <f>RANK('1. Datos'!J30,'1. Datos'!J$2:J$172,1)+(COUNTIF('1. Datos'!J$2:J$172,'1. Datos'!J30)-1)/2</f>
        <v>137.5</v>
      </c>
      <c r="D30">
        <f>RANK('1. Datos'!K30,'1. Datos'!K$2:K$172,1)+(COUNTIF('1. Datos'!K$2:K$172,'1. Datos'!K30)-1)/2</f>
        <v>39</v>
      </c>
      <c r="E30">
        <f>RANK('1. Datos'!L30,'1. Datos'!L$2:L$172,1)+(COUNTIF('1. Datos'!L$2:L$172,'1. Datos'!L30)-1)/2</f>
        <v>55.5</v>
      </c>
      <c r="F30">
        <f>RANK('1. Datos'!M30,'1. Datos'!M$2:M$172,1)+(COUNTIF('1. Datos'!M$2:M$172,'1. Datos'!M30)-1)/2</f>
        <v>139.5</v>
      </c>
      <c r="G30">
        <f>RANK('1. Datos'!N30,'1. Datos'!N$2:N$172,1)+(COUNTIF('1. Datos'!N$2:N$172,'1. Datos'!N30)-1)/2</f>
        <v>127</v>
      </c>
      <c r="H30">
        <f>RANK('1. Datos'!O30,'1. Datos'!O$2:O$172,1)+(COUNTIF('1. Datos'!O$2:O$172,'1. Datos'!O30)-1)/2</f>
        <v>126</v>
      </c>
      <c r="I30">
        <f>RANK('1. Datos'!P30,'1. Datos'!P$2:P$172,1)+(COUNTIF('1. Datos'!P$2:P$172,'1. Datos'!P30)-1)/2</f>
        <v>122</v>
      </c>
      <c r="J30">
        <f>RANK('1. Datos'!Q30,'1. Datos'!Q$2:Q$172,1)+(COUNTIF('1. Datos'!Q$2:Q$172,'1. Datos'!Q30)-1)/2</f>
        <v>123</v>
      </c>
      <c r="K30">
        <f>RANK('1. Datos'!R30,'1. Datos'!R$2:R$172,1)+(COUNTIF('1. Datos'!R$2:R$172,'1. Datos'!R30)-1)/2</f>
        <v>118.5</v>
      </c>
      <c r="L30">
        <f>RANK('1. Datos'!S30,'1. Datos'!S$2:S$172,1)+(COUNTIF('1. Datos'!S$2:S$172,'1. Datos'!S30)-1)/2</f>
        <v>124.5</v>
      </c>
    </row>
    <row r="31" spans="1:12" ht="15" customHeight="1" x14ac:dyDescent="0.45">
      <c r="A31">
        <f>RANK('1. Datos'!H31,'1. Datos'!H$2:H$172,1)+(COUNTIF('1. Datos'!H$2:H$172,'1. Datos'!H31)-1)/2</f>
        <v>125</v>
      </c>
      <c r="B31">
        <f>RANK('1. Datos'!I31,'1. Datos'!I$2:I$172,1)+(COUNTIF('1. Datos'!I$2:I$172,'1. Datos'!I31)-1)/2</f>
        <v>57.5</v>
      </c>
      <c r="C31">
        <f>RANK('1. Datos'!J31,'1. Datos'!J$2:J$172,1)+(COUNTIF('1. Datos'!J$2:J$172,'1. Datos'!J31)-1)/2</f>
        <v>137.5</v>
      </c>
      <c r="D31">
        <f>RANK('1. Datos'!K31,'1. Datos'!K$2:K$172,1)+(COUNTIF('1. Datos'!K$2:K$172,'1. Datos'!K31)-1)/2</f>
        <v>92.5</v>
      </c>
      <c r="E31">
        <f>RANK('1. Datos'!L31,'1. Datos'!L$2:L$172,1)+(COUNTIF('1. Datos'!L$2:L$172,'1. Datos'!L31)-1)/2</f>
        <v>55.5</v>
      </c>
      <c r="F31">
        <f>RANK('1. Datos'!M31,'1. Datos'!M$2:M$172,1)+(COUNTIF('1. Datos'!M$2:M$172,'1. Datos'!M31)-1)/2</f>
        <v>139.5</v>
      </c>
      <c r="G31">
        <f>RANK('1. Datos'!N31,'1. Datos'!N$2:N$172,1)+(COUNTIF('1. Datos'!N$2:N$172,'1. Datos'!N31)-1)/2</f>
        <v>127</v>
      </c>
      <c r="H31">
        <f>RANK('1. Datos'!O31,'1. Datos'!O$2:O$172,1)+(COUNTIF('1. Datos'!O$2:O$172,'1. Datos'!O31)-1)/2</f>
        <v>126</v>
      </c>
      <c r="I31">
        <f>RANK('1. Datos'!P31,'1. Datos'!P$2:P$172,1)+(COUNTIF('1. Datos'!P$2:P$172,'1. Datos'!P31)-1)/2</f>
        <v>122</v>
      </c>
      <c r="J31">
        <f>RANK('1. Datos'!Q31,'1. Datos'!Q$2:Q$172,1)+(COUNTIF('1. Datos'!Q$2:Q$172,'1. Datos'!Q31)-1)/2</f>
        <v>123</v>
      </c>
      <c r="K31">
        <f>RANK('1. Datos'!R31,'1. Datos'!R$2:R$172,1)+(COUNTIF('1. Datos'!R$2:R$172,'1. Datos'!R31)-1)/2</f>
        <v>118.5</v>
      </c>
      <c r="L31">
        <f>RANK('1. Datos'!S31,'1. Datos'!S$2:S$172,1)+(COUNTIF('1. Datos'!S$2:S$172,'1. Datos'!S31)-1)/2</f>
        <v>124.5</v>
      </c>
    </row>
    <row r="32" spans="1:12" ht="15" customHeight="1" x14ac:dyDescent="0.45">
      <c r="A32">
        <f>RANK('1. Datos'!H32,'1. Datos'!H$2:H$172,1)+(COUNTIF('1. Datos'!H$2:H$172,'1. Datos'!H32)-1)/2</f>
        <v>125</v>
      </c>
      <c r="B32">
        <f>RANK('1. Datos'!I32,'1. Datos'!I$2:I$172,1)+(COUNTIF('1. Datos'!I$2:I$172,'1. Datos'!I32)-1)/2</f>
        <v>138</v>
      </c>
      <c r="C32">
        <f>RANK('1. Datos'!J32,'1. Datos'!J$2:J$172,1)+(COUNTIF('1. Datos'!J$2:J$172,'1. Datos'!J32)-1)/2</f>
        <v>137.5</v>
      </c>
      <c r="D32">
        <f>RANK('1. Datos'!K32,'1. Datos'!K$2:K$172,1)+(COUNTIF('1. Datos'!K$2:K$172,'1. Datos'!K32)-1)/2</f>
        <v>149</v>
      </c>
      <c r="E32">
        <f>RANK('1. Datos'!L32,'1. Datos'!L$2:L$172,1)+(COUNTIF('1. Datos'!L$2:L$172,'1. Datos'!L32)-1)/2</f>
        <v>132</v>
      </c>
      <c r="F32">
        <f>RANK('1. Datos'!M32,'1. Datos'!M$2:M$172,1)+(COUNTIF('1. Datos'!M$2:M$172,'1. Datos'!M32)-1)/2</f>
        <v>139.5</v>
      </c>
      <c r="G32">
        <f>RANK('1. Datos'!N32,'1. Datos'!N$2:N$172,1)+(COUNTIF('1. Datos'!N$2:N$172,'1. Datos'!N32)-1)/2</f>
        <v>127</v>
      </c>
      <c r="H32">
        <f>RANK('1. Datos'!O32,'1. Datos'!O$2:O$172,1)+(COUNTIF('1. Datos'!O$2:O$172,'1. Datos'!O32)-1)/2</f>
        <v>126</v>
      </c>
      <c r="I32">
        <f>RANK('1. Datos'!P32,'1. Datos'!P$2:P$172,1)+(COUNTIF('1. Datos'!P$2:P$172,'1. Datos'!P32)-1)/2</f>
        <v>122</v>
      </c>
      <c r="J32">
        <f>RANK('1. Datos'!Q32,'1. Datos'!Q$2:Q$172,1)+(COUNTIF('1. Datos'!Q$2:Q$172,'1. Datos'!Q32)-1)/2</f>
        <v>123</v>
      </c>
      <c r="K32">
        <f>RANK('1. Datos'!R32,'1. Datos'!R$2:R$172,1)+(COUNTIF('1. Datos'!R$2:R$172,'1. Datos'!R32)-1)/2</f>
        <v>118.5</v>
      </c>
      <c r="L32">
        <f>RANK('1. Datos'!S32,'1. Datos'!S$2:S$172,1)+(COUNTIF('1. Datos'!S$2:S$172,'1. Datos'!S32)-1)/2</f>
        <v>124.5</v>
      </c>
    </row>
    <row r="33" spans="1:12" ht="15" customHeight="1" x14ac:dyDescent="0.45">
      <c r="A33">
        <f>RANK('1. Datos'!H33,'1. Datos'!H$2:H$172,1)+(COUNTIF('1. Datos'!H$2:H$172,'1. Datos'!H33)-1)/2</f>
        <v>125</v>
      </c>
      <c r="B33">
        <f>RANK('1. Datos'!I33,'1. Datos'!I$2:I$172,1)+(COUNTIF('1. Datos'!I$2:I$172,'1. Datos'!I33)-1)/2</f>
        <v>138</v>
      </c>
      <c r="C33">
        <f>RANK('1. Datos'!J33,'1. Datos'!J$2:J$172,1)+(COUNTIF('1. Datos'!J$2:J$172,'1. Datos'!J33)-1)/2</f>
        <v>137.5</v>
      </c>
      <c r="D33">
        <f>RANK('1. Datos'!K33,'1. Datos'!K$2:K$172,1)+(COUNTIF('1. Datos'!K$2:K$172,'1. Datos'!K33)-1)/2</f>
        <v>149</v>
      </c>
      <c r="E33">
        <f>RANK('1. Datos'!L33,'1. Datos'!L$2:L$172,1)+(COUNTIF('1. Datos'!L$2:L$172,'1. Datos'!L33)-1)/2</f>
        <v>55.5</v>
      </c>
      <c r="F33">
        <f>RANK('1. Datos'!M33,'1. Datos'!M$2:M$172,1)+(COUNTIF('1. Datos'!M$2:M$172,'1. Datos'!M33)-1)/2</f>
        <v>57.5</v>
      </c>
      <c r="G33">
        <f>RANK('1. Datos'!N33,'1. Datos'!N$2:N$172,1)+(COUNTIF('1. Datos'!N$2:N$172,'1. Datos'!N33)-1)/2</f>
        <v>53</v>
      </c>
      <c r="H33">
        <f>RANK('1. Datos'!O33,'1. Datos'!O$2:O$172,1)+(COUNTIF('1. Datos'!O$2:O$172,'1. Datos'!O33)-1)/2</f>
        <v>49</v>
      </c>
      <c r="I33">
        <f>RANK('1. Datos'!P33,'1. Datos'!P$2:P$172,1)+(COUNTIF('1. Datos'!P$2:P$172,'1. Datos'!P33)-1)/2</f>
        <v>41.5</v>
      </c>
      <c r="J33">
        <f>RANK('1. Datos'!Q33,'1. Datos'!Q$2:Q$172,1)+(COUNTIF('1. Datos'!Q$2:Q$172,'1. Datos'!Q33)-1)/2</f>
        <v>123</v>
      </c>
      <c r="K33">
        <f>RANK('1. Datos'!R33,'1. Datos'!R$2:R$172,1)+(COUNTIF('1. Datos'!R$2:R$172,'1. Datos'!R33)-1)/2</f>
        <v>118.5</v>
      </c>
      <c r="L33">
        <f>RANK('1. Datos'!S33,'1. Datos'!S$2:S$172,1)+(COUNTIF('1. Datos'!S$2:S$172,'1. Datos'!S33)-1)/2</f>
        <v>124.5</v>
      </c>
    </row>
    <row r="34" spans="1:12" ht="15" customHeight="1" x14ac:dyDescent="0.45">
      <c r="A34">
        <f>RANK('1. Datos'!H34,'1. Datos'!H$2:H$172,1)+(COUNTIF('1. Datos'!H$2:H$172,'1. Datos'!H34)-1)/2</f>
        <v>125</v>
      </c>
      <c r="B34">
        <f>RANK('1. Datos'!I34,'1. Datos'!I$2:I$172,1)+(COUNTIF('1. Datos'!I$2:I$172,'1. Datos'!I34)-1)/2</f>
        <v>138</v>
      </c>
      <c r="C34">
        <f>RANK('1. Datos'!J34,'1. Datos'!J$2:J$172,1)+(COUNTIF('1. Datos'!J$2:J$172,'1. Datos'!J34)-1)/2</f>
        <v>62</v>
      </c>
      <c r="D34">
        <f>RANK('1. Datos'!K34,'1. Datos'!K$2:K$172,1)+(COUNTIF('1. Datos'!K$2:K$172,'1. Datos'!K34)-1)/2</f>
        <v>92.5</v>
      </c>
      <c r="E34">
        <f>RANK('1. Datos'!L34,'1. Datos'!L$2:L$172,1)+(COUNTIF('1. Datos'!L$2:L$172,'1. Datos'!L34)-1)/2</f>
        <v>55.5</v>
      </c>
      <c r="F34">
        <f>RANK('1. Datos'!M34,'1. Datos'!M$2:M$172,1)+(COUNTIF('1. Datos'!M$2:M$172,'1. Datos'!M34)-1)/2</f>
        <v>139.5</v>
      </c>
      <c r="G34">
        <f>RANK('1. Datos'!N34,'1. Datos'!N$2:N$172,1)+(COUNTIF('1. Datos'!N$2:N$172,'1. Datos'!N34)-1)/2</f>
        <v>53</v>
      </c>
      <c r="H34">
        <f>RANK('1. Datos'!O34,'1. Datos'!O$2:O$172,1)+(COUNTIF('1. Datos'!O$2:O$172,'1. Datos'!O34)-1)/2</f>
        <v>126</v>
      </c>
      <c r="I34">
        <f>RANK('1. Datos'!P34,'1. Datos'!P$2:P$172,1)+(COUNTIF('1. Datos'!P$2:P$172,'1. Datos'!P34)-1)/2</f>
        <v>122</v>
      </c>
      <c r="J34">
        <f>RANK('1. Datos'!Q34,'1. Datos'!Q$2:Q$172,1)+(COUNTIF('1. Datos'!Q$2:Q$172,'1. Datos'!Q34)-1)/2</f>
        <v>123</v>
      </c>
      <c r="K34">
        <f>RANK('1. Datos'!R34,'1. Datos'!R$2:R$172,1)+(COUNTIF('1. Datos'!R$2:R$172,'1. Datos'!R34)-1)/2</f>
        <v>118.5</v>
      </c>
      <c r="L34">
        <f>RANK('1. Datos'!S34,'1. Datos'!S$2:S$172,1)+(COUNTIF('1. Datos'!S$2:S$172,'1. Datos'!S34)-1)/2</f>
        <v>51.5</v>
      </c>
    </row>
    <row r="35" spans="1:12" ht="15" customHeight="1" x14ac:dyDescent="0.45">
      <c r="A35">
        <f>RANK('1. Datos'!H35,'1. Datos'!H$2:H$172,1)+(COUNTIF('1. Datos'!H$2:H$172,'1. Datos'!H35)-1)/2</f>
        <v>125</v>
      </c>
      <c r="B35">
        <f>RANK('1. Datos'!I35,'1. Datos'!I$2:I$172,1)+(COUNTIF('1. Datos'!I$2:I$172,'1. Datos'!I35)-1)/2</f>
        <v>57.5</v>
      </c>
      <c r="C35">
        <f>RANK('1. Datos'!J35,'1. Datos'!J$2:J$172,1)+(COUNTIF('1. Datos'!J$2:J$172,'1. Datos'!J35)-1)/2</f>
        <v>62</v>
      </c>
      <c r="D35">
        <f>RANK('1. Datos'!K35,'1. Datos'!K$2:K$172,1)+(COUNTIF('1. Datos'!K$2:K$172,'1. Datos'!K35)-1)/2</f>
        <v>92.5</v>
      </c>
      <c r="E35">
        <f>RANK('1. Datos'!L35,'1. Datos'!L$2:L$172,1)+(COUNTIF('1. Datos'!L$2:L$172,'1. Datos'!L35)-1)/2</f>
        <v>132</v>
      </c>
      <c r="F35">
        <f>RANK('1. Datos'!M35,'1. Datos'!M$2:M$172,1)+(COUNTIF('1. Datos'!M$2:M$172,'1. Datos'!M35)-1)/2</f>
        <v>139.5</v>
      </c>
      <c r="G35">
        <f>RANK('1. Datos'!N35,'1. Datos'!N$2:N$172,1)+(COUNTIF('1. Datos'!N$2:N$172,'1. Datos'!N35)-1)/2</f>
        <v>53</v>
      </c>
      <c r="H35">
        <f>RANK('1. Datos'!O35,'1. Datos'!O$2:O$172,1)+(COUNTIF('1. Datos'!O$2:O$172,'1. Datos'!O35)-1)/2</f>
        <v>49</v>
      </c>
      <c r="I35">
        <f>RANK('1. Datos'!P35,'1. Datos'!P$2:P$172,1)+(COUNTIF('1. Datos'!P$2:P$172,'1. Datos'!P35)-1)/2</f>
        <v>41.5</v>
      </c>
      <c r="J35">
        <f>RANK('1. Datos'!Q35,'1. Datos'!Q$2:Q$172,1)+(COUNTIF('1. Datos'!Q$2:Q$172,'1. Datos'!Q35)-1)/2</f>
        <v>123</v>
      </c>
      <c r="K35">
        <f>RANK('1. Datos'!R35,'1. Datos'!R$2:R$172,1)+(COUNTIF('1. Datos'!R$2:R$172,'1. Datos'!R35)-1)/2</f>
        <v>118.5</v>
      </c>
      <c r="L35">
        <f>RANK('1. Datos'!S35,'1. Datos'!S$2:S$172,1)+(COUNTIF('1. Datos'!S$2:S$172,'1. Datos'!S35)-1)/2</f>
        <v>124.5</v>
      </c>
    </row>
    <row r="36" spans="1:12" ht="15" customHeight="1" x14ac:dyDescent="0.45">
      <c r="A36">
        <f>RANK('1. Datos'!H36,'1. Datos'!H$2:H$172,1)+(COUNTIF('1. Datos'!H$2:H$172,'1. Datos'!H36)-1)/2</f>
        <v>125</v>
      </c>
      <c r="B36">
        <f>RANK('1. Datos'!I36,'1. Datos'!I$2:I$172,1)+(COUNTIF('1. Datos'!I$2:I$172,'1. Datos'!I36)-1)/2</f>
        <v>138</v>
      </c>
      <c r="C36">
        <f>RANK('1. Datos'!J36,'1. Datos'!J$2:J$172,1)+(COUNTIF('1. Datos'!J$2:J$172,'1. Datos'!J36)-1)/2</f>
        <v>137.5</v>
      </c>
      <c r="D36">
        <f>RANK('1. Datos'!K36,'1. Datos'!K$2:K$172,1)+(COUNTIF('1. Datos'!K$2:K$172,'1. Datos'!K36)-1)/2</f>
        <v>149</v>
      </c>
      <c r="E36">
        <f>RANK('1. Datos'!L36,'1. Datos'!L$2:L$172,1)+(COUNTIF('1. Datos'!L$2:L$172,'1. Datos'!L36)-1)/2</f>
        <v>132</v>
      </c>
      <c r="F36">
        <f>RANK('1. Datos'!M36,'1. Datos'!M$2:M$172,1)+(COUNTIF('1. Datos'!M$2:M$172,'1. Datos'!M36)-1)/2</f>
        <v>57.5</v>
      </c>
      <c r="G36">
        <f>RANK('1. Datos'!N36,'1. Datos'!N$2:N$172,1)+(COUNTIF('1. Datos'!N$2:N$172,'1. Datos'!N36)-1)/2</f>
        <v>127</v>
      </c>
      <c r="H36">
        <f>RANK('1. Datos'!O36,'1. Datos'!O$2:O$172,1)+(COUNTIF('1. Datos'!O$2:O$172,'1. Datos'!O36)-1)/2</f>
        <v>49</v>
      </c>
      <c r="I36">
        <f>RANK('1. Datos'!P36,'1. Datos'!P$2:P$172,1)+(COUNTIF('1. Datos'!P$2:P$172,'1. Datos'!P36)-1)/2</f>
        <v>41.5</v>
      </c>
      <c r="J36">
        <f>RANK('1. Datos'!Q36,'1. Datos'!Q$2:Q$172,1)+(COUNTIF('1. Datos'!Q$2:Q$172,'1. Datos'!Q36)-1)/2</f>
        <v>38.5</v>
      </c>
      <c r="K36">
        <f>RANK('1. Datos'!R36,'1. Datos'!R$2:R$172,1)+(COUNTIF('1. Datos'!R$2:R$172,'1. Datos'!R36)-1)/2</f>
        <v>118.5</v>
      </c>
      <c r="L36">
        <f>RANK('1. Datos'!S36,'1. Datos'!S$2:S$172,1)+(COUNTIF('1. Datos'!S$2:S$172,'1. Datos'!S36)-1)/2</f>
        <v>124.5</v>
      </c>
    </row>
    <row r="37" spans="1:12" ht="15" customHeight="1" x14ac:dyDescent="0.45">
      <c r="A37">
        <f>RANK('1. Datos'!H37,'1. Datos'!H$2:H$172,1)+(COUNTIF('1. Datos'!H$2:H$172,'1. Datos'!H37)-1)/2</f>
        <v>125</v>
      </c>
      <c r="B37">
        <f>RANK('1. Datos'!I37,'1. Datos'!I$2:I$172,1)+(COUNTIF('1. Datos'!I$2:I$172,'1. Datos'!I37)-1)/2</f>
        <v>57.5</v>
      </c>
      <c r="C37">
        <f>RANK('1. Datos'!J37,'1. Datos'!J$2:J$172,1)+(COUNTIF('1. Datos'!J$2:J$172,'1. Datos'!J37)-1)/2</f>
        <v>62</v>
      </c>
      <c r="D37">
        <f>RANK('1. Datos'!K37,'1. Datos'!K$2:K$172,1)+(COUNTIF('1. Datos'!K$2:K$172,'1. Datos'!K37)-1)/2</f>
        <v>92.5</v>
      </c>
      <c r="E37">
        <f>RANK('1. Datos'!L37,'1. Datos'!L$2:L$172,1)+(COUNTIF('1. Datos'!L$2:L$172,'1. Datos'!L37)-1)/2</f>
        <v>132</v>
      </c>
      <c r="F37">
        <f>RANK('1. Datos'!M37,'1. Datos'!M$2:M$172,1)+(COUNTIF('1. Datos'!M$2:M$172,'1. Datos'!M37)-1)/2</f>
        <v>139.5</v>
      </c>
      <c r="G37">
        <f>RANK('1. Datos'!N37,'1. Datos'!N$2:N$172,1)+(COUNTIF('1. Datos'!N$2:N$172,'1. Datos'!N37)-1)/2</f>
        <v>53</v>
      </c>
      <c r="H37">
        <f>RANK('1. Datos'!O37,'1. Datos'!O$2:O$172,1)+(COUNTIF('1. Datos'!O$2:O$172,'1. Datos'!O37)-1)/2</f>
        <v>126</v>
      </c>
      <c r="I37">
        <f>RANK('1. Datos'!P37,'1. Datos'!P$2:P$172,1)+(COUNTIF('1. Datos'!P$2:P$172,'1. Datos'!P37)-1)/2</f>
        <v>122</v>
      </c>
      <c r="J37">
        <f>RANK('1. Datos'!Q37,'1. Datos'!Q$2:Q$172,1)+(COUNTIF('1. Datos'!Q$2:Q$172,'1. Datos'!Q37)-1)/2</f>
        <v>123</v>
      </c>
      <c r="K37">
        <f>RANK('1. Datos'!R37,'1. Datos'!R$2:R$172,1)+(COUNTIF('1. Datos'!R$2:R$172,'1. Datos'!R37)-1)/2</f>
        <v>118.5</v>
      </c>
      <c r="L37">
        <f>RANK('1. Datos'!S37,'1. Datos'!S$2:S$172,1)+(COUNTIF('1. Datos'!S$2:S$172,'1. Datos'!S37)-1)/2</f>
        <v>124.5</v>
      </c>
    </row>
    <row r="38" spans="1:12" ht="15" customHeight="1" x14ac:dyDescent="0.45">
      <c r="A38">
        <f>RANK('1. Datos'!H38,'1. Datos'!H$2:H$172,1)+(COUNTIF('1. Datos'!H$2:H$172,'1. Datos'!H38)-1)/2</f>
        <v>125</v>
      </c>
      <c r="B38">
        <f>RANK('1. Datos'!I38,'1. Datos'!I$2:I$172,1)+(COUNTIF('1. Datos'!I$2:I$172,'1. Datos'!I38)-1)/2</f>
        <v>57.5</v>
      </c>
      <c r="C38">
        <f>RANK('1. Datos'!J38,'1. Datos'!J$2:J$172,1)+(COUNTIF('1. Datos'!J$2:J$172,'1. Datos'!J38)-1)/2</f>
        <v>62</v>
      </c>
      <c r="D38">
        <f>RANK('1. Datos'!K38,'1. Datos'!K$2:K$172,1)+(COUNTIF('1. Datos'!K$2:K$172,'1. Datos'!K38)-1)/2</f>
        <v>92.5</v>
      </c>
      <c r="E38">
        <f>RANK('1. Datos'!L38,'1. Datos'!L$2:L$172,1)+(COUNTIF('1. Datos'!L$2:L$172,'1. Datos'!L38)-1)/2</f>
        <v>55.5</v>
      </c>
      <c r="F38">
        <f>RANK('1. Datos'!M38,'1. Datos'!M$2:M$172,1)+(COUNTIF('1. Datos'!M$2:M$172,'1. Datos'!M38)-1)/2</f>
        <v>57.5</v>
      </c>
      <c r="G38">
        <f>RANK('1. Datos'!N38,'1. Datos'!N$2:N$172,1)+(COUNTIF('1. Datos'!N$2:N$172,'1. Datos'!N38)-1)/2</f>
        <v>127</v>
      </c>
      <c r="H38">
        <f>RANK('1. Datos'!O38,'1. Datos'!O$2:O$172,1)+(COUNTIF('1. Datos'!O$2:O$172,'1. Datos'!O38)-1)/2</f>
        <v>126</v>
      </c>
      <c r="I38">
        <f>RANK('1. Datos'!P38,'1. Datos'!P$2:P$172,1)+(COUNTIF('1. Datos'!P$2:P$172,'1. Datos'!P38)-1)/2</f>
        <v>122</v>
      </c>
      <c r="J38">
        <f>RANK('1. Datos'!Q38,'1. Datos'!Q$2:Q$172,1)+(COUNTIF('1. Datos'!Q$2:Q$172,'1. Datos'!Q38)-1)/2</f>
        <v>123</v>
      </c>
      <c r="K38">
        <f>RANK('1. Datos'!R38,'1. Datos'!R$2:R$172,1)+(COUNTIF('1. Datos'!R$2:R$172,'1. Datos'!R38)-1)/2</f>
        <v>118.5</v>
      </c>
      <c r="L38">
        <f>RANK('1. Datos'!S38,'1. Datos'!S$2:S$172,1)+(COUNTIF('1. Datos'!S$2:S$172,'1. Datos'!S38)-1)/2</f>
        <v>124.5</v>
      </c>
    </row>
    <row r="39" spans="1:12" ht="15" customHeight="1" x14ac:dyDescent="0.45">
      <c r="A39">
        <f>RANK('1. Datos'!H39,'1. Datos'!H$2:H$172,1)+(COUNTIF('1. Datos'!H$2:H$172,'1. Datos'!H39)-1)/2</f>
        <v>41.5</v>
      </c>
      <c r="B39">
        <f>RANK('1. Datos'!I39,'1. Datos'!I$2:I$172,1)+(COUNTIF('1. Datos'!I$2:I$172,'1. Datos'!I39)-1)/2</f>
        <v>57.5</v>
      </c>
      <c r="C39">
        <f>RANK('1. Datos'!J39,'1. Datos'!J$2:J$172,1)+(COUNTIF('1. Datos'!J$2:J$172,'1. Datos'!J39)-1)/2</f>
        <v>62</v>
      </c>
      <c r="D39">
        <f>RANK('1. Datos'!K39,'1. Datos'!K$2:K$172,1)+(COUNTIF('1. Datos'!K$2:K$172,'1. Datos'!K39)-1)/2</f>
        <v>39</v>
      </c>
      <c r="E39">
        <f>RANK('1. Datos'!L39,'1. Datos'!L$2:L$172,1)+(COUNTIF('1. Datos'!L$2:L$172,'1. Datos'!L39)-1)/2</f>
        <v>10.5</v>
      </c>
      <c r="F39">
        <f>RANK('1. Datos'!M39,'1. Datos'!M$2:M$172,1)+(COUNTIF('1. Datos'!M$2:M$172,'1. Datos'!M39)-1)/2</f>
        <v>57.5</v>
      </c>
      <c r="G39">
        <f>RANK('1. Datos'!N39,'1. Datos'!N$2:N$172,1)+(COUNTIF('1. Datos'!N$2:N$172,'1. Datos'!N39)-1)/2</f>
        <v>127</v>
      </c>
      <c r="H39">
        <f>RANK('1. Datos'!O39,'1. Datos'!O$2:O$172,1)+(COUNTIF('1. Datos'!O$2:O$172,'1. Datos'!O39)-1)/2</f>
        <v>126</v>
      </c>
      <c r="I39">
        <f>RANK('1. Datos'!P39,'1. Datos'!P$2:P$172,1)+(COUNTIF('1. Datos'!P$2:P$172,'1. Datos'!P39)-1)/2</f>
        <v>122</v>
      </c>
      <c r="J39">
        <f>RANK('1. Datos'!Q39,'1. Datos'!Q$2:Q$172,1)+(COUNTIF('1. Datos'!Q$2:Q$172,'1. Datos'!Q39)-1)/2</f>
        <v>123</v>
      </c>
      <c r="K39">
        <f>RANK('1. Datos'!R39,'1. Datos'!R$2:R$172,1)+(COUNTIF('1. Datos'!R$2:R$172,'1. Datos'!R39)-1)/2</f>
        <v>118.5</v>
      </c>
      <c r="L39">
        <f>RANK('1. Datos'!S39,'1. Datos'!S$2:S$172,1)+(COUNTIF('1. Datos'!S$2:S$172,'1. Datos'!S39)-1)/2</f>
        <v>124.5</v>
      </c>
    </row>
    <row r="40" spans="1:12" ht="15" customHeight="1" x14ac:dyDescent="0.45">
      <c r="A40">
        <f>RANK('1. Datos'!H40,'1. Datos'!H$2:H$172,1)+(COUNTIF('1. Datos'!H$2:H$172,'1. Datos'!H40)-1)/2</f>
        <v>41.5</v>
      </c>
      <c r="B40">
        <f>RANK('1. Datos'!I40,'1. Datos'!I$2:I$172,1)+(COUNTIF('1. Datos'!I$2:I$172,'1. Datos'!I40)-1)/2</f>
        <v>138</v>
      </c>
      <c r="C40">
        <f>RANK('1. Datos'!J40,'1. Datos'!J$2:J$172,1)+(COUNTIF('1. Datos'!J$2:J$172,'1. Datos'!J40)-1)/2</f>
        <v>137.5</v>
      </c>
      <c r="D40">
        <f>RANK('1. Datos'!K40,'1. Datos'!K$2:K$172,1)+(COUNTIF('1. Datos'!K$2:K$172,'1. Datos'!K40)-1)/2</f>
        <v>149</v>
      </c>
      <c r="E40">
        <f>RANK('1. Datos'!L40,'1. Datos'!L$2:L$172,1)+(COUNTIF('1. Datos'!L$2:L$172,'1. Datos'!L40)-1)/2</f>
        <v>132</v>
      </c>
      <c r="F40">
        <f>RANK('1. Datos'!M40,'1. Datos'!M$2:M$172,1)+(COUNTIF('1. Datos'!M$2:M$172,'1. Datos'!M40)-1)/2</f>
        <v>57.5</v>
      </c>
      <c r="G40">
        <f>RANK('1. Datos'!N40,'1. Datos'!N$2:N$172,1)+(COUNTIF('1. Datos'!N$2:N$172,'1. Datos'!N40)-1)/2</f>
        <v>16</v>
      </c>
      <c r="H40">
        <f>RANK('1. Datos'!O40,'1. Datos'!O$2:O$172,1)+(COUNTIF('1. Datos'!O$2:O$172,'1. Datos'!O40)-1)/2</f>
        <v>49</v>
      </c>
      <c r="I40">
        <f>RANK('1. Datos'!P40,'1. Datos'!P$2:P$172,1)+(COUNTIF('1. Datos'!P$2:P$172,'1. Datos'!P40)-1)/2</f>
        <v>41.5</v>
      </c>
      <c r="J40">
        <f>RANK('1. Datos'!Q40,'1. Datos'!Q$2:Q$172,1)+(COUNTIF('1. Datos'!Q$2:Q$172,'1. Datos'!Q40)-1)/2</f>
        <v>123</v>
      </c>
      <c r="K40">
        <f>RANK('1. Datos'!R40,'1. Datos'!R$2:R$172,1)+(COUNTIF('1. Datos'!R$2:R$172,'1. Datos'!R40)-1)/2</f>
        <v>33.5</v>
      </c>
      <c r="L40">
        <f>RANK('1. Datos'!S40,'1. Datos'!S$2:S$172,1)+(COUNTIF('1. Datos'!S$2:S$172,'1. Datos'!S40)-1)/2</f>
        <v>2</v>
      </c>
    </row>
    <row r="41" spans="1:12" ht="15" customHeight="1" x14ac:dyDescent="0.45">
      <c r="A41">
        <f>RANK('1. Datos'!H41,'1. Datos'!H$2:H$172,1)+(COUNTIF('1. Datos'!H$2:H$172,'1. Datos'!H41)-1)/2</f>
        <v>125</v>
      </c>
      <c r="B41">
        <f>RANK('1. Datos'!I41,'1. Datos'!I$2:I$172,1)+(COUNTIF('1. Datos'!I$2:I$172,'1. Datos'!I41)-1)/2</f>
        <v>57.5</v>
      </c>
      <c r="C41">
        <f>RANK('1. Datos'!J41,'1. Datos'!J$2:J$172,1)+(COUNTIF('1. Datos'!J$2:J$172,'1. Datos'!J41)-1)/2</f>
        <v>62</v>
      </c>
      <c r="D41">
        <f>RANK('1. Datos'!K41,'1. Datos'!K$2:K$172,1)+(COUNTIF('1. Datos'!K$2:K$172,'1. Datos'!K41)-1)/2</f>
        <v>92.5</v>
      </c>
      <c r="E41">
        <f>RANK('1. Datos'!L41,'1. Datos'!L$2:L$172,1)+(COUNTIF('1. Datos'!L$2:L$172,'1. Datos'!L41)-1)/2</f>
        <v>132</v>
      </c>
      <c r="F41">
        <f>RANK('1. Datos'!M41,'1. Datos'!M$2:M$172,1)+(COUNTIF('1. Datos'!M$2:M$172,'1. Datos'!M41)-1)/2</f>
        <v>139.5</v>
      </c>
      <c r="G41">
        <f>RANK('1. Datos'!N41,'1. Datos'!N$2:N$172,1)+(COUNTIF('1. Datos'!N$2:N$172,'1. Datos'!N41)-1)/2</f>
        <v>53</v>
      </c>
      <c r="H41">
        <f>RANK('1. Datos'!O41,'1. Datos'!O$2:O$172,1)+(COUNTIF('1. Datos'!O$2:O$172,'1. Datos'!O41)-1)/2</f>
        <v>49</v>
      </c>
      <c r="I41">
        <f>RANK('1. Datos'!P41,'1. Datos'!P$2:P$172,1)+(COUNTIF('1. Datos'!P$2:P$172,'1. Datos'!P41)-1)/2</f>
        <v>122</v>
      </c>
      <c r="J41">
        <f>RANK('1. Datos'!Q41,'1. Datos'!Q$2:Q$172,1)+(COUNTIF('1. Datos'!Q$2:Q$172,'1. Datos'!Q41)-1)/2</f>
        <v>38.5</v>
      </c>
      <c r="K41">
        <f>RANK('1. Datos'!R41,'1. Datos'!R$2:R$172,1)+(COUNTIF('1. Datos'!R$2:R$172,'1. Datos'!R41)-1)/2</f>
        <v>33.5</v>
      </c>
      <c r="L41">
        <f>RANK('1. Datos'!S41,'1. Datos'!S$2:S$172,1)+(COUNTIF('1. Datos'!S$2:S$172,'1. Datos'!S41)-1)/2</f>
        <v>124.5</v>
      </c>
    </row>
    <row r="42" spans="1:12" ht="15" customHeight="1" x14ac:dyDescent="0.45">
      <c r="A42">
        <f>RANK('1. Datos'!H42,'1. Datos'!H$2:H$172,1)+(COUNTIF('1. Datos'!H$2:H$172,'1. Datos'!H42)-1)/2</f>
        <v>41.5</v>
      </c>
      <c r="B42">
        <f>RANK('1. Datos'!I42,'1. Datos'!I$2:I$172,1)+(COUNTIF('1. Datos'!I$2:I$172,'1. Datos'!I42)-1)/2</f>
        <v>57.5</v>
      </c>
      <c r="C42">
        <f>RANK('1. Datos'!J42,'1. Datos'!J$2:J$172,1)+(COUNTIF('1. Datos'!J$2:J$172,'1. Datos'!J42)-1)/2</f>
        <v>137.5</v>
      </c>
      <c r="D42">
        <f>RANK('1. Datos'!K42,'1. Datos'!K$2:K$172,1)+(COUNTIF('1. Datos'!K$2:K$172,'1. Datos'!K42)-1)/2</f>
        <v>11</v>
      </c>
      <c r="E42">
        <f>RANK('1. Datos'!L42,'1. Datos'!L$2:L$172,1)+(COUNTIF('1. Datos'!L$2:L$172,'1. Datos'!L42)-1)/2</f>
        <v>10.5</v>
      </c>
      <c r="F42">
        <f>RANK('1. Datos'!M42,'1. Datos'!M$2:M$172,1)+(COUNTIF('1. Datos'!M$2:M$172,'1. Datos'!M42)-1)/2</f>
        <v>4</v>
      </c>
      <c r="G42">
        <f>RANK('1. Datos'!N42,'1. Datos'!N$2:N$172,1)+(COUNTIF('1. Datos'!N$2:N$172,'1. Datos'!N42)-1)/2</f>
        <v>53</v>
      </c>
      <c r="H42">
        <f>RANK('1. Datos'!O42,'1. Datos'!O$2:O$172,1)+(COUNTIF('1. Datos'!O$2:O$172,'1. Datos'!O42)-1)/2</f>
        <v>126</v>
      </c>
      <c r="I42">
        <f>RANK('1. Datos'!P42,'1. Datos'!P$2:P$172,1)+(COUNTIF('1. Datos'!P$2:P$172,'1. Datos'!P42)-1)/2</f>
        <v>41.5</v>
      </c>
      <c r="J42">
        <f>RANK('1. Datos'!Q42,'1. Datos'!Q$2:Q$172,1)+(COUNTIF('1. Datos'!Q$2:Q$172,'1. Datos'!Q42)-1)/2</f>
        <v>123</v>
      </c>
      <c r="K42">
        <f>RANK('1. Datos'!R42,'1. Datos'!R$2:R$172,1)+(COUNTIF('1. Datos'!R$2:R$172,'1. Datos'!R42)-1)/2</f>
        <v>118.5</v>
      </c>
      <c r="L42">
        <f>RANK('1. Datos'!S42,'1. Datos'!S$2:S$172,1)+(COUNTIF('1. Datos'!S$2:S$172,'1. Datos'!S42)-1)/2</f>
        <v>124.5</v>
      </c>
    </row>
    <row r="43" spans="1:12" ht="15" customHeight="1" x14ac:dyDescent="0.45">
      <c r="A43">
        <f>RANK('1. Datos'!H43,'1. Datos'!H$2:H$172,1)+(COUNTIF('1. Datos'!H$2:H$172,'1. Datos'!H43)-1)/2</f>
        <v>41.5</v>
      </c>
      <c r="B43">
        <f>RANK('1. Datos'!I43,'1. Datos'!I$2:I$172,1)+(COUNTIF('1. Datos'!I$2:I$172,'1. Datos'!I43)-1)/2</f>
        <v>57.5</v>
      </c>
      <c r="C43">
        <f>RANK('1. Datos'!J43,'1. Datos'!J$2:J$172,1)+(COUNTIF('1. Datos'!J$2:J$172,'1. Datos'!J43)-1)/2</f>
        <v>62</v>
      </c>
      <c r="D43">
        <f>RANK('1. Datos'!K43,'1. Datos'!K$2:K$172,1)+(COUNTIF('1. Datos'!K$2:K$172,'1. Datos'!K43)-1)/2</f>
        <v>39</v>
      </c>
      <c r="E43">
        <f>RANK('1. Datos'!L43,'1. Datos'!L$2:L$172,1)+(COUNTIF('1. Datos'!L$2:L$172,'1. Datos'!L43)-1)/2</f>
        <v>10.5</v>
      </c>
      <c r="F43">
        <f>RANK('1. Datos'!M43,'1. Datos'!M$2:M$172,1)+(COUNTIF('1. Datos'!M$2:M$172,'1. Datos'!M43)-1)/2</f>
        <v>57.5</v>
      </c>
      <c r="G43">
        <f>RANK('1. Datos'!N43,'1. Datos'!N$2:N$172,1)+(COUNTIF('1. Datos'!N$2:N$172,'1. Datos'!N43)-1)/2</f>
        <v>127</v>
      </c>
      <c r="H43">
        <f>RANK('1. Datos'!O43,'1. Datos'!O$2:O$172,1)+(COUNTIF('1. Datos'!O$2:O$172,'1. Datos'!O43)-1)/2</f>
        <v>126</v>
      </c>
      <c r="I43">
        <f>RANK('1. Datos'!P43,'1. Datos'!P$2:P$172,1)+(COUNTIF('1. Datos'!P$2:P$172,'1. Datos'!P43)-1)/2</f>
        <v>122</v>
      </c>
      <c r="J43">
        <f>RANK('1. Datos'!Q43,'1. Datos'!Q$2:Q$172,1)+(COUNTIF('1. Datos'!Q$2:Q$172,'1. Datos'!Q43)-1)/2</f>
        <v>123</v>
      </c>
      <c r="K43">
        <f>RANK('1. Datos'!R43,'1. Datos'!R$2:R$172,1)+(COUNTIF('1. Datos'!R$2:R$172,'1. Datos'!R43)-1)/2</f>
        <v>118.5</v>
      </c>
      <c r="L43">
        <f>RANK('1. Datos'!S43,'1. Datos'!S$2:S$172,1)+(COUNTIF('1. Datos'!S$2:S$172,'1. Datos'!S43)-1)/2</f>
        <v>14</v>
      </c>
    </row>
    <row r="44" spans="1:12" ht="15" customHeight="1" x14ac:dyDescent="0.45">
      <c r="A44">
        <f>RANK('1. Datos'!H44,'1. Datos'!H$2:H$172,1)+(COUNTIF('1. Datos'!H$2:H$172,'1. Datos'!H44)-1)/2</f>
        <v>41.5</v>
      </c>
      <c r="B44">
        <f>RANK('1. Datos'!I44,'1. Datos'!I$2:I$172,1)+(COUNTIF('1. Datos'!I$2:I$172,'1. Datos'!I44)-1)/2</f>
        <v>57.5</v>
      </c>
      <c r="C44">
        <f>RANK('1. Datos'!J44,'1. Datos'!J$2:J$172,1)+(COUNTIF('1. Datos'!J$2:J$172,'1. Datos'!J44)-1)/2</f>
        <v>62</v>
      </c>
      <c r="D44">
        <f>RANK('1. Datos'!K44,'1. Datos'!K$2:K$172,1)+(COUNTIF('1. Datos'!K$2:K$172,'1. Datos'!K44)-1)/2</f>
        <v>11</v>
      </c>
      <c r="E44">
        <f>RANK('1. Datos'!L44,'1. Datos'!L$2:L$172,1)+(COUNTIF('1. Datos'!L$2:L$172,'1. Datos'!L44)-1)/2</f>
        <v>1.5</v>
      </c>
      <c r="F44">
        <f>RANK('1. Datos'!M44,'1. Datos'!M$2:M$172,1)+(COUNTIF('1. Datos'!M$2:M$172,'1. Datos'!M44)-1)/2</f>
        <v>57.5</v>
      </c>
      <c r="G44">
        <f>RANK('1. Datos'!N44,'1. Datos'!N$2:N$172,1)+(COUNTIF('1. Datos'!N$2:N$172,'1. Datos'!N44)-1)/2</f>
        <v>53</v>
      </c>
      <c r="H44">
        <f>RANK('1. Datos'!O44,'1. Datos'!O$2:O$172,1)+(COUNTIF('1. Datos'!O$2:O$172,'1. Datos'!O44)-1)/2</f>
        <v>49</v>
      </c>
      <c r="I44">
        <f>RANK('1. Datos'!P44,'1. Datos'!P$2:P$172,1)+(COUNTIF('1. Datos'!P$2:P$172,'1. Datos'!P44)-1)/2</f>
        <v>5.5</v>
      </c>
      <c r="J44">
        <f>RANK('1. Datos'!Q44,'1. Datos'!Q$2:Q$172,1)+(COUNTIF('1. Datos'!Q$2:Q$172,'1. Datos'!Q44)-1)/2</f>
        <v>38.5</v>
      </c>
      <c r="K44">
        <f>RANK('1. Datos'!R44,'1. Datos'!R$2:R$172,1)+(COUNTIF('1. Datos'!R$2:R$172,'1. Datos'!R44)-1)/2</f>
        <v>33.5</v>
      </c>
      <c r="L44">
        <f>RANK('1. Datos'!S44,'1. Datos'!S$2:S$172,1)+(COUNTIF('1. Datos'!S$2:S$172,'1. Datos'!S44)-1)/2</f>
        <v>14</v>
      </c>
    </row>
    <row r="45" spans="1:12" ht="15" customHeight="1" x14ac:dyDescent="0.45">
      <c r="A45">
        <f>RANK('1. Datos'!H45,'1. Datos'!H$2:H$172,1)+(COUNTIF('1. Datos'!H$2:H$172,'1. Datos'!H45)-1)/2</f>
        <v>125</v>
      </c>
      <c r="B45">
        <f>RANK('1. Datos'!I45,'1. Datos'!I$2:I$172,1)+(COUNTIF('1. Datos'!I$2:I$172,'1. Datos'!I45)-1)/2</f>
        <v>138</v>
      </c>
      <c r="C45">
        <f>RANK('1. Datos'!J45,'1. Datos'!J$2:J$172,1)+(COUNTIF('1. Datos'!J$2:J$172,'1. Datos'!J45)-1)/2</f>
        <v>62</v>
      </c>
      <c r="D45">
        <f>RANK('1. Datos'!K45,'1. Datos'!K$2:K$172,1)+(COUNTIF('1. Datos'!K$2:K$172,'1. Datos'!K45)-1)/2</f>
        <v>149</v>
      </c>
      <c r="E45">
        <f>RANK('1. Datos'!L45,'1. Datos'!L$2:L$172,1)+(COUNTIF('1. Datos'!L$2:L$172,'1. Datos'!L45)-1)/2</f>
        <v>132</v>
      </c>
      <c r="F45">
        <f>RANK('1. Datos'!M45,'1. Datos'!M$2:M$172,1)+(COUNTIF('1. Datos'!M$2:M$172,'1. Datos'!M45)-1)/2</f>
        <v>139.5</v>
      </c>
      <c r="G45">
        <f>RANK('1. Datos'!N45,'1. Datos'!N$2:N$172,1)+(COUNTIF('1. Datos'!N$2:N$172,'1. Datos'!N45)-1)/2</f>
        <v>127</v>
      </c>
      <c r="H45">
        <f>RANK('1. Datos'!O45,'1. Datos'!O$2:O$172,1)+(COUNTIF('1. Datos'!O$2:O$172,'1. Datos'!O45)-1)/2</f>
        <v>126</v>
      </c>
      <c r="I45">
        <f>RANK('1. Datos'!P45,'1. Datos'!P$2:P$172,1)+(COUNTIF('1. Datos'!P$2:P$172,'1. Datos'!P45)-1)/2</f>
        <v>122</v>
      </c>
      <c r="J45">
        <f>RANK('1. Datos'!Q45,'1. Datos'!Q$2:Q$172,1)+(COUNTIF('1. Datos'!Q$2:Q$172,'1. Datos'!Q45)-1)/2</f>
        <v>123</v>
      </c>
      <c r="K45">
        <f>RANK('1. Datos'!R45,'1. Datos'!R$2:R$172,1)+(COUNTIF('1. Datos'!R$2:R$172,'1. Datos'!R45)-1)/2</f>
        <v>118.5</v>
      </c>
      <c r="L45">
        <f>RANK('1. Datos'!S45,'1. Datos'!S$2:S$172,1)+(COUNTIF('1. Datos'!S$2:S$172,'1. Datos'!S45)-1)/2</f>
        <v>124.5</v>
      </c>
    </row>
    <row r="46" spans="1:12" ht="15" customHeight="1" x14ac:dyDescent="0.45">
      <c r="A46">
        <f>RANK('1. Datos'!H46,'1. Datos'!H$2:H$172,1)+(COUNTIF('1. Datos'!H$2:H$172,'1. Datos'!H46)-1)/2</f>
        <v>41.5</v>
      </c>
      <c r="B46">
        <f>RANK('1. Datos'!I46,'1. Datos'!I$2:I$172,1)+(COUNTIF('1. Datos'!I$2:I$172,'1. Datos'!I46)-1)/2</f>
        <v>57.5</v>
      </c>
      <c r="C46">
        <f>RANK('1. Datos'!J46,'1. Datos'!J$2:J$172,1)+(COUNTIF('1. Datos'!J$2:J$172,'1. Datos'!J46)-1)/2</f>
        <v>137.5</v>
      </c>
      <c r="D46">
        <f>RANK('1. Datos'!K46,'1. Datos'!K$2:K$172,1)+(COUNTIF('1. Datos'!K$2:K$172,'1. Datos'!K46)-1)/2</f>
        <v>149</v>
      </c>
      <c r="E46">
        <f>RANK('1. Datos'!L46,'1. Datos'!L$2:L$172,1)+(COUNTIF('1. Datos'!L$2:L$172,'1. Datos'!L46)-1)/2</f>
        <v>132</v>
      </c>
      <c r="F46">
        <f>RANK('1. Datos'!M46,'1. Datos'!M$2:M$172,1)+(COUNTIF('1. Datos'!M$2:M$172,'1. Datos'!M46)-1)/2</f>
        <v>139.5</v>
      </c>
      <c r="G46">
        <f>RANK('1. Datos'!N46,'1. Datos'!N$2:N$172,1)+(COUNTIF('1. Datos'!N$2:N$172,'1. Datos'!N46)-1)/2</f>
        <v>127</v>
      </c>
      <c r="H46">
        <f>RANK('1. Datos'!O46,'1. Datos'!O$2:O$172,1)+(COUNTIF('1. Datos'!O$2:O$172,'1. Datos'!O46)-1)/2</f>
        <v>126</v>
      </c>
      <c r="I46">
        <f>RANK('1. Datos'!P46,'1. Datos'!P$2:P$172,1)+(COUNTIF('1. Datos'!P$2:P$172,'1. Datos'!P46)-1)/2</f>
        <v>122</v>
      </c>
      <c r="J46">
        <f>RANK('1. Datos'!Q46,'1. Datos'!Q$2:Q$172,1)+(COUNTIF('1. Datos'!Q$2:Q$172,'1. Datos'!Q46)-1)/2</f>
        <v>123</v>
      </c>
      <c r="K46">
        <f>RANK('1. Datos'!R46,'1. Datos'!R$2:R$172,1)+(COUNTIF('1. Datos'!R$2:R$172,'1. Datos'!R46)-1)/2</f>
        <v>118.5</v>
      </c>
      <c r="L46">
        <f>RANK('1. Datos'!S46,'1. Datos'!S$2:S$172,1)+(COUNTIF('1. Datos'!S$2:S$172,'1. Datos'!S46)-1)/2</f>
        <v>51.5</v>
      </c>
    </row>
    <row r="47" spans="1:12" ht="15" customHeight="1" x14ac:dyDescent="0.45">
      <c r="A47">
        <f>RANK('1. Datos'!H47,'1. Datos'!H$2:H$172,1)+(COUNTIF('1. Datos'!H$2:H$172,'1. Datos'!H47)-1)/2</f>
        <v>125</v>
      </c>
      <c r="B47">
        <f>RANK('1. Datos'!I47,'1. Datos'!I$2:I$172,1)+(COUNTIF('1. Datos'!I$2:I$172,'1. Datos'!I47)-1)/2</f>
        <v>138</v>
      </c>
      <c r="C47">
        <f>RANK('1. Datos'!J47,'1. Datos'!J$2:J$172,1)+(COUNTIF('1. Datos'!J$2:J$172,'1. Datos'!J47)-1)/2</f>
        <v>137.5</v>
      </c>
      <c r="D47">
        <f>RANK('1. Datos'!K47,'1. Datos'!K$2:K$172,1)+(COUNTIF('1. Datos'!K$2:K$172,'1. Datos'!K47)-1)/2</f>
        <v>92.5</v>
      </c>
      <c r="E47">
        <f>RANK('1. Datos'!L47,'1. Datos'!L$2:L$172,1)+(COUNTIF('1. Datos'!L$2:L$172,'1. Datos'!L47)-1)/2</f>
        <v>55.5</v>
      </c>
      <c r="F47">
        <f>RANK('1. Datos'!M47,'1. Datos'!M$2:M$172,1)+(COUNTIF('1. Datos'!M$2:M$172,'1. Datos'!M47)-1)/2</f>
        <v>57.5</v>
      </c>
      <c r="G47">
        <f>RANK('1. Datos'!N47,'1. Datos'!N$2:N$172,1)+(COUNTIF('1. Datos'!N$2:N$172,'1. Datos'!N47)-1)/2</f>
        <v>127</v>
      </c>
      <c r="H47">
        <f>RANK('1. Datos'!O47,'1. Datos'!O$2:O$172,1)+(COUNTIF('1. Datos'!O$2:O$172,'1. Datos'!O47)-1)/2</f>
        <v>126</v>
      </c>
      <c r="I47">
        <f>RANK('1. Datos'!P47,'1. Datos'!P$2:P$172,1)+(COUNTIF('1. Datos'!P$2:P$172,'1. Datos'!P47)-1)/2</f>
        <v>122</v>
      </c>
      <c r="J47">
        <f>RANK('1. Datos'!Q47,'1. Datos'!Q$2:Q$172,1)+(COUNTIF('1. Datos'!Q$2:Q$172,'1. Datos'!Q47)-1)/2</f>
        <v>123</v>
      </c>
      <c r="K47">
        <f>RANK('1. Datos'!R47,'1. Datos'!R$2:R$172,1)+(COUNTIF('1. Datos'!R$2:R$172,'1. Datos'!R47)-1)/2</f>
        <v>118.5</v>
      </c>
      <c r="L47">
        <f>RANK('1. Datos'!S47,'1. Datos'!S$2:S$172,1)+(COUNTIF('1. Datos'!S$2:S$172,'1. Datos'!S47)-1)/2</f>
        <v>124.5</v>
      </c>
    </row>
    <row r="48" spans="1:12" ht="15" customHeight="1" x14ac:dyDescent="0.45">
      <c r="A48">
        <f>RANK('1. Datos'!H48,'1. Datos'!H$2:H$172,1)+(COUNTIF('1. Datos'!H$2:H$172,'1. Datos'!H48)-1)/2</f>
        <v>41.5</v>
      </c>
      <c r="B48">
        <f>RANK('1. Datos'!I48,'1. Datos'!I$2:I$172,1)+(COUNTIF('1. Datos'!I$2:I$172,'1. Datos'!I48)-1)/2</f>
        <v>57.5</v>
      </c>
      <c r="C48">
        <f>RANK('1. Datos'!J48,'1. Datos'!J$2:J$172,1)+(COUNTIF('1. Datos'!J$2:J$172,'1. Datos'!J48)-1)/2</f>
        <v>137.5</v>
      </c>
      <c r="D48">
        <f>RANK('1. Datos'!K48,'1. Datos'!K$2:K$172,1)+(COUNTIF('1. Datos'!K$2:K$172,'1. Datos'!K48)-1)/2</f>
        <v>149</v>
      </c>
      <c r="E48">
        <f>RANK('1. Datos'!L48,'1. Datos'!L$2:L$172,1)+(COUNTIF('1. Datos'!L$2:L$172,'1. Datos'!L48)-1)/2</f>
        <v>55.5</v>
      </c>
      <c r="F48">
        <f>RANK('1. Datos'!M48,'1. Datos'!M$2:M$172,1)+(COUNTIF('1. Datos'!M$2:M$172,'1. Datos'!M48)-1)/2</f>
        <v>57.5</v>
      </c>
      <c r="G48">
        <f>RANK('1. Datos'!N48,'1. Datos'!N$2:N$172,1)+(COUNTIF('1. Datos'!N$2:N$172,'1. Datos'!N48)-1)/2</f>
        <v>127</v>
      </c>
      <c r="H48">
        <f>RANK('1. Datos'!O48,'1. Datos'!O$2:O$172,1)+(COUNTIF('1. Datos'!O$2:O$172,'1. Datos'!O48)-1)/2</f>
        <v>49</v>
      </c>
      <c r="I48">
        <f>RANK('1. Datos'!P48,'1. Datos'!P$2:P$172,1)+(COUNTIF('1. Datos'!P$2:P$172,'1. Datos'!P48)-1)/2</f>
        <v>122</v>
      </c>
      <c r="J48">
        <f>RANK('1. Datos'!Q48,'1. Datos'!Q$2:Q$172,1)+(COUNTIF('1. Datos'!Q$2:Q$172,'1. Datos'!Q48)-1)/2</f>
        <v>123</v>
      </c>
      <c r="K48">
        <f>RANK('1. Datos'!R48,'1. Datos'!R$2:R$172,1)+(COUNTIF('1. Datos'!R$2:R$172,'1. Datos'!R48)-1)/2</f>
        <v>118.5</v>
      </c>
      <c r="L48">
        <f>RANK('1. Datos'!S48,'1. Datos'!S$2:S$172,1)+(COUNTIF('1. Datos'!S$2:S$172,'1. Datos'!S48)-1)/2</f>
        <v>124.5</v>
      </c>
    </row>
    <row r="49" spans="1:12" ht="15" customHeight="1" x14ac:dyDescent="0.45">
      <c r="A49">
        <f>RANK('1. Datos'!H49,'1. Datos'!H$2:H$172,1)+(COUNTIF('1. Datos'!H$2:H$172,'1. Datos'!H49)-1)/2</f>
        <v>125</v>
      </c>
      <c r="B49">
        <f>RANK('1. Datos'!I49,'1. Datos'!I$2:I$172,1)+(COUNTIF('1. Datos'!I$2:I$172,'1. Datos'!I49)-1)/2</f>
        <v>138</v>
      </c>
      <c r="C49">
        <f>RANK('1. Datos'!J49,'1. Datos'!J$2:J$172,1)+(COUNTIF('1. Datos'!J$2:J$172,'1. Datos'!J49)-1)/2</f>
        <v>137.5</v>
      </c>
      <c r="D49">
        <f>RANK('1. Datos'!K49,'1. Datos'!K$2:K$172,1)+(COUNTIF('1. Datos'!K$2:K$172,'1. Datos'!K49)-1)/2</f>
        <v>92.5</v>
      </c>
      <c r="E49">
        <f>RANK('1. Datos'!L49,'1. Datos'!L$2:L$172,1)+(COUNTIF('1. Datos'!L$2:L$172,'1. Datos'!L49)-1)/2</f>
        <v>132</v>
      </c>
      <c r="F49">
        <f>RANK('1. Datos'!M49,'1. Datos'!M$2:M$172,1)+(COUNTIF('1. Datos'!M$2:M$172,'1. Datos'!M49)-1)/2</f>
        <v>139.5</v>
      </c>
      <c r="G49">
        <f>RANK('1. Datos'!N49,'1. Datos'!N$2:N$172,1)+(COUNTIF('1. Datos'!N$2:N$172,'1. Datos'!N49)-1)/2</f>
        <v>127</v>
      </c>
      <c r="H49">
        <f>RANK('1. Datos'!O49,'1. Datos'!O$2:O$172,1)+(COUNTIF('1. Datos'!O$2:O$172,'1. Datos'!O49)-1)/2</f>
        <v>126</v>
      </c>
      <c r="I49">
        <f>RANK('1. Datos'!P49,'1. Datos'!P$2:P$172,1)+(COUNTIF('1. Datos'!P$2:P$172,'1. Datos'!P49)-1)/2</f>
        <v>122</v>
      </c>
      <c r="J49">
        <f>RANK('1. Datos'!Q49,'1. Datos'!Q$2:Q$172,1)+(COUNTIF('1. Datos'!Q$2:Q$172,'1. Datos'!Q49)-1)/2</f>
        <v>123</v>
      </c>
      <c r="K49">
        <f>RANK('1. Datos'!R49,'1. Datos'!R$2:R$172,1)+(COUNTIF('1. Datos'!R$2:R$172,'1. Datos'!R49)-1)/2</f>
        <v>118.5</v>
      </c>
      <c r="L49">
        <f>RANK('1. Datos'!S49,'1. Datos'!S$2:S$172,1)+(COUNTIF('1. Datos'!S$2:S$172,'1. Datos'!S49)-1)/2</f>
        <v>124.5</v>
      </c>
    </row>
    <row r="50" spans="1:12" ht="15" customHeight="1" x14ac:dyDescent="0.45">
      <c r="A50">
        <f>RANK('1. Datos'!H50,'1. Datos'!H$2:H$172,1)+(COUNTIF('1. Datos'!H$2:H$172,'1. Datos'!H50)-1)/2</f>
        <v>125</v>
      </c>
      <c r="B50">
        <f>RANK('1. Datos'!I50,'1. Datos'!I$2:I$172,1)+(COUNTIF('1. Datos'!I$2:I$172,'1. Datos'!I50)-1)/2</f>
        <v>138</v>
      </c>
      <c r="C50">
        <f>RANK('1. Datos'!J50,'1. Datos'!J$2:J$172,1)+(COUNTIF('1. Datos'!J$2:J$172,'1. Datos'!J50)-1)/2</f>
        <v>137.5</v>
      </c>
      <c r="D50">
        <f>RANK('1. Datos'!K50,'1. Datos'!K$2:K$172,1)+(COUNTIF('1. Datos'!K$2:K$172,'1. Datos'!K50)-1)/2</f>
        <v>149</v>
      </c>
      <c r="E50">
        <f>RANK('1. Datos'!L50,'1. Datos'!L$2:L$172,1)+(COUNTIF('1. Datos'!L$2:L$172,'1. Datos'!L50)-1)/2</f>
        <v>55.5</v>
      </c>
      <c r="F50">
        <f>RANK('1. Datos'!M50,'1. Datos'!M$2:M$172,1)+(COUNTIF('1. Datos'!M$2:M$172,'1. Datos'!M50)-1)/2</f>
        <v>139.5</v>
      </c>
      <c r="G50">
        <f>RANK('1. Datos'!N50,'1. Datos'!N$2:N$172,1)+(COUNTIF('1. Datos'!N$2:N$172,'1. Datos'!N50)-1)/2</f>
        <v>127</v>
      </c>
      <c r="H50">
        <f>RANK('1. Datos'!O50,'1. Datos'!O$2:O$172,1)+(COUNTIF('1. Datos'!O$2:O$172,'1. Datos'!O50)-1)/2</f>
        <v>126</v>
      </c>
      <c r="I50">
        <f>RANK('1. Datos'!P50,'1. Datos'!P$2:P$172,1)+(COUNTIF('1. Datos'!P$2:P$172,'1. Datos'!P50)-1)/2</f>
        <v>122</v>
      </c>
      <c r="J50">
        <f>RANK('1. Datos'!Q50,'1. Datos'!Q$2:Q$172,1)+(COUNTIF('1. Datos'!Q$2:Q$172,'1. Datos'!Q50)-1)/2</f>
        <v>123</v>
      </c>
      <c r="K50">
        <f>RANK('1. Datos'!R50,'1. Datos'!R$2:R$172,1)+(COUNTIF('1. Datos'!R$2:R$172,'1. Datos'!R50)-1)/2</f>
        <v>118.5</v>
      </c>
      <c r="L50">
        <f>RANK('1. Datos'!S50,'1. Datos'!S$2:S$172,1)+(COUNTIF('1. Datos'!S$2:S$172,'1. Datos'!S50)-1)/2</f>
        <v>124.5</v>
      </c>
    </row>
    <row r="51" spans="1:12" ht="15" customHeight="1" x14ac:dyDescent="0.45">
      <c r="A51">
        <f>RANK('1. Datos'!H51,'1. Datos'!H$2:H$172,1)+(COUNTIF('1. Datos'!H$2:H$172,'1. Datos'!H51)-1)/2</f>
        <v>125</v>
      </c>
      <c r="B51">
        <f>RANK('1. Datos'!I51,'1. Datos'!I$2:I$172,1)+(COUNTIF('1. Datos'!I$2:I$172,'1. Datos'!I51)-1)/2</f>
        <v>138</v>
      </c>
      <c r="C51">
        <f>RANK('1. Datos'!J51,'1. Datos'!J$2:J$172,1)+(COUNTIF('1. Datos'!J$2:J$172,'1. Datos'!J51)-1)/2</f>
        <v>62</v>
      </c>
      <c r="D51">
        <f>RANK('1. Datos'!K51,'1. Datos'!K$2:K$172,1)+(COUNTIF('1. Datos'!K$2:K$172,'1. Datos'!K51)-1)/2</f>
        <v>39</v>
      </c>
      <c r="E51">
        <f>RANK('1. Datos'!L51,'1. Datos'!L$2:L$172,1)+(COUNTIF('1. Datos'!L$2:L$172,'1. Datos'!L51)-1)/2</f>
        <v>10.5</v>
      </c>
      <c r="F51">
        <f>RANK('1. Datos'!M51,'1. Datos'!M$2:M$172,1)+(COUNTIF('1. Datos'!M$2:M$172,'1. Datos'!M51)-1)/2</f>
        <v>57.5</v>
      </c>
      <c r="G51">
        <f>RANK('1. Datos'!N51,'1. Datos'!N$2:N$172,1)+(COUNTIF('1. Datos'!N$2:N$172,'1. Datos'!N51)-1)/2</f>
        <v>53</v>
      </c>
      <c r="H51">
        <f>RANK('1. Datos'!O51,'1. Datos'!O$2:O$172,1)+(COUNTIF('1. Datos'!O$2:O$172,'1. Datos'!O51)-1)/2</f>
        <v>49</v>
      </c>
      <c r="I51">
        <f>RANK('1. Datos'!P51,'1. Datos'!P$2:P$172,1)+(COUNTIF('1. Datos'!P$2:P$172,'1. Datos'!P51)-1)/2</f>
        <v>122</v>
      </c>
      <c r="J51">
        <f>RANK('1. Datos'!Q51,'1. Datos'!Q$2:Q$172,1)+(COUNTIF('1. Datos'!Q$2:Q$172,'1. Datos'!Q51)-1)/2</f>
        <v>38.5</v>
      </c>
      <c r="K51">
        <f>RANK('1. Datos'!R51,'1. Datos'!R$2:R$172,1)+(COUNTIF('1. Datos'!R$2:R$172,'1. Datos'!R51)-1)/2</f>
        <v>118.5</v>
      </c>
      <c r="L51">
        <f>RANK('1. Datos'!S51,'1. Datos'!S$2:S$172,1)+(COUNTIF('1. Datos'!S$2:S$172,'1. Datos'!S51)-1)/2</f>
        <v>124.5</v>
      </c>
    </row>
    <row r="52" spans="1:12" ht="15" customHeight="1" x14ac:dyDescent="0.45">
      <c r="A52">
        <f>RANK('1. Datos'!H52,'1. Datos'!H$2:H$172,1)+(COUNTIF('1. Datos'!H$2:H$172,'1. Datos'!H52)-1)/2</f>
        <v>41.5</v>
      </c>
      <c r="B52">
        <f>RANK('1. Datos'!I52,'1. Datos'!I$2:I$172,1)+(COUNTIF('1. Datos'!I$2:I$172,'1. Datos'!I52)-1)/2</f>
        <v>57.5</v>
      </c>
      <c r="C52">
        <f>RANK('1. Datos'!J52,'1. Datos'!J$2:J$172,1)+(COUNTIF('1. Datos'!J$2:J$172,'1. Datos'!J52)-1)/2</f>
        <v>137.5</v>
      </c>
      <c r="D52">
        <f>RANK('1. Datos'!K52,'1. Datos'!K$2:K$172,1)+(COUNTIF('1. Datos'!K$2:K$172,'1. Datos'!K52)-1)/2</f>
        <v>149</v>
      </c>
      <c r="E52">
        <f>RANK('1. Datos'!L52,'1. Datos'!L$2:L$172,1)+(COUNTIF('1. Datos'!L$2:L$172,'1. Datos'!L52)-1)/2</f>
        <v>132</v>
      </c>
      <c r="F52">
        <f>RANK('1. Datos'!M52,'1. Datos'!M$2:M$172,1)+(COUNTIF('1. Datos'!M$2:M$172,'1. Datos'!M52)-1)/2</f>
        <v>139.5</v>
      </c>
      <c r="G52">
        <f>RANK('1. Datos'!N52,'1. Datos'!N$2:N$172,1)+(COUNTIF('1. Datos'!N$2:N$172,'1. Datos'!N52)-1)/2</f>
        <v>127</v>
      </c>
      <c r="H52">
        <f>RANK('1. Datos'!O52,'1. Datos'!O$2:O$172,1)+(COUNTIF('1. Datos'!O$2:O$172,'1. Datos'!O52)-1)/2</f>
        <v>126</v>
      </c>
      <c r="I52">
        <f>RANK('1. Datos'!P52,'1. Datos'!P$2:P$172,1)+(COUNTIF('1. Datos'!P$2:P$172,'1. Datos'!P52)-1)/2</f>
        <v>122</v>
      </c>
      <c r="J52">
        <f>RANK('1. Datos'!Q52,'1. Datos'!Q$2:Q$172,1)+(COUNTIF('1. Datos'!Q$2:Q$172,'1. Datos'!Q52)-1)/2</f>
        <v>123</v>
      </c>
      <c r="K52">
        <f>RANK('1. Datos'!R52,'1. Datos'!R$2:R$172,1)+(COUNTIF('1. Datos'!R$2:R$172,'1. Datos'!R52)-1)/2</f>
        <v>118.5</v>
      </c>
      <c r="L52">
        <f>RANK('1. Datos'!S52,'1. Datos'!S$2:S$172,1)+(COUNTIF('1. Datos'!S$2:S$172,'1. Datos'!S52)-1)/2</f>
        <v>124.5</v>
      </c>
    </row>
    <row r="53" spans="1:12" ht="15" customHeight="1" x14ac:dyDescent="0.45">
      <c r="A53">
        <f>RANK('1. Datos'!H53,'1. Datos'!H$2:H$172,1)+(COUNTIF('1. Datos'!H$2:H$172,'1. Datos'!H53)-1)/2</f>
        <v>125</v>
      </c>
      <c r="B53">
        <f>RANK('1. Datos'!I53,'1. Datos'!I$2:I$172,1)+(COUNTIF('1. Datos'!I$2:I$172,'1. Datos'!I53)-1)/2</f>
        <v>138</v>
      </c>
      <c r="C53">
        <f>RANK('1. Datos'!J53,'1. Datos'!J$2:J$172,1)+(COUNTIF('1. Datos'!J$2:J$172,'1. Datos'!J53)-1)/2</f>
        <v>137.5</v>
      </c>
      <c r="D53">
        <f>RANK('1. Datos'!K53,'1. Datos'!K$2:K$172,1)+(COUNTIF('1. Datos'!K$2:K$172,'1. Datos'!K53)-1)/2</f>
        <v>92.5</v>
      </c>
      <c r="E53">
        <f>RANK('1. Datos'!L53,'1. Datos'!L$2:L$172,1)+(COUNTIF('1. Datos'!L$2:L$172,'1. Datos'!L53)-1)/2</f>
        <v>132</v>
      </c>
      <c r="F53">
        <f>RANK('1. Datos'!M53,'1. Datos'!M$2:M$172,1)+(COUNTIF('1. Datos'!M$2:M$172,'1. Datos'!M53)-1)/2</f>
        <v>139.5</v>
      </c>
      <c r="G53">
        <f>RANK('1. Datos'!N53,'1. Datos'!N$2:N$172,1)+(COUNTIF('1. Datos'!N$2:N$172,'1. Datos'!N53)-1)/2</f>
        <v>127</v>
      </c>
      <c r="H53">
        <f>RANK('1. Datos'!O53,'1. Datos'!O$2:O$172,1)+(COUNTIF('1. Datos'!O$2:O$172,'1. Datos'!O53)-1)/2</f>
        <v>126</v>
      </c>
      <c r="I53">
        <f>RANK('1. Datos'!P53,'1. Datos'!P$2:P$172,1)+(COUNTIF('1. Datos'!P$2:P$172,'1. Datos'!P53)-1)/2</f>
        <v>122</v>
      </c>
      <c r="J53">
        <f>RANK('1. Datos'!Q53,'1. Datos'!Q$2:Q$172,1)+(COUNTIF('1. Datos'!Q$2:Q$172,'1. Datos'!Q53)-1)/2</f>
        <v>38.5</v>
      </c>
      <c r="K53">
        <f>RANK('1. Datos'!R53,'1. Datos'!R$2:R$172,1)+(COUNTIF('1. Datos'!R$2:R$172,'1. Datos'!R53)-1)/2</f>
        <v>33.5</v>
      </c>
      <c r="L53">
        <f>RANK('1. Datos'!S53,'1. Datos'!S$2:S$172,1)+(COUNTIF('1. Datos'!S$2:S$172,'1. Datos'!S53)-1)/2</f>
        <v>124.5</v>
      </c>
    </row>
    <row r="54" spans="1:12" ht="15" customHeight="1" x14ac:dyDescent="0.45">
      <c r="A54">
        <f>RANK('1. Datos'!H54,'1. Datos'!H$2:H$172,1)+(COUNTIF('1. Datos'!H$2:H$172,'1. Datos'!H54)-1)/2</f>
        <v>125</v>
      </c>
      <c r="B54">
        <f>RANK('1. Datos'!I54,'1. Datos'!I$2:I$172,1)+(COUNTIF('1. Datos'!I$2:I$172,'1. Datos'!I54)-1)/2</f>
        <v>57.5</v>
      </c>
      <c r="C54">
        <f>RANK('1. Datos'!J54,'1. Datos'!J$2:J$172,1)+(COUNTIF('1. Datos'!J$2:J$172,'1. Datos'!J54)-1)/2</f>
        <v>137.5</v>
      </c>
      <c r="D54">
        <f>RANK('1. Datos'!K54,'1. Datos'!K$2:K$172,1)+(COUNTIF('1. Datos'!K$2:K$172,'1. Datos'!K54)-1)/2</f>
        <v>149</v>
      </c>
      <c r="E54">
        <f>RANK('1. Datos'!L54,'1. Datos'!L$2:L$172,1)+(COUNTIF('1. Datos'!L$2:L$172,'1. Datos'!L54)-1)/2</f>
        <v>55.5</v>
      </c>
      <c r="F54">
        <f>RANK('1. Datos'!M54,'1. Datos'!M$2:M$172,1)+(COUNTIF('1. Datos'!M$2:M$172,'1. Datos'!M54)-1)/2</f>
        <v>57.5</v>
      </c>
      <c r="G54">
        <f>RANK('1. Datos'!N54,'1. Datos'!N$2:N$172,1)+(COUNTIF('1. Datos'!N$2:N$172,'1. Datos'!N54)-1)/2</f>
        <v>127</v>
      </c>
      <c r="H54">
        <f>RANK('1. Datos'!O54,'1. Datos'!O$2:O$172,1)+(COUNTIF('1. Datos'!O$2:O$172,'1. Datos'!O54)-1)/2</f>
        <v>126</v>
      </c>
      <c r="I54">
        <f>RANK('1. Datos'!P54,'1. Datos'!P$2:P$172,1)+(COUNTIF('1. Datos'!P$2:P$172,'1. Datos'!P54)-1)/2</f>
        <v>122</v>
      </c>
      <c r="J54">
        <f>RANK('1. Datos'!Q54,'1. Datos'!Q$2:Q$172,1)+(COUNTIF('1. Datos'!Q$2:Q$172,'1. Datos'!Q54)-1)/2</f>
        <v>123</v>
      </c>
      <c r="K54">
        <f>RANK('1. Datos'!R54,'1. Datos'!R$2:R$172,1)+(COUNTIF('1. Datos'!R$2:R$172,'1. Datos'!R54)-1)/2</f>
        <v>118.5</v>
      </c>
      <c r="L54">
        <f>RANK('1. Datos'!S54,'1. Datos'!S$2:S$172,1)+(COUNTIF('1. Datos'!S$2:S$172,'1. Datos'!S54)-1)/2</f>
        <v>124.5</v>
      </c>
    </row>
    <row r="55" spans="1:12" ht="15" customHeight="1" x14ac:dyDescent="0.45">
      <c r="A55">
        <f>RANK('1. Datos'!H55,'1. Datos'!H$2:H$172,1)+(COUNTIF('1. Datos'!H$2:H$172,'1. Datos'!H55)-1)/2</f>
        <v>41.5</v>
      </c>
      <c r="B55">
        <f>RANK('1. Datos'!I55,'1. Datos'!I$2:I$172,1)+(COUNTIF('1. Datos'!I$2:I$172,'1. Datos'!I55)-1)/2</f>
        <v>57.5</v>
      </c>
      <c r="C55">
        <f>RANK('1. Datos'!J55,'1. Datos'!J$2:J$172,1)+(COUNTIF('1. Datos'!J$2:J$172,'1. Datos'!J55)-1)/2</f>
        <v>10.5</v>
      </c>
      <c r="D55">
        <f>RANK('1. Datos'!K55,'1. Datos'!K$2:K$172,1)+(COUNTIF('1. Datos'!K$2:K$172,'1. Datos'!K55)-1)/2</f>
        <v>39</v>
      </c>
      <c r="E55">
        <f>RANK('1. Datos'!L55,'1. Datos'!L$2:L$172,1)+(COUNTIF('1. Datos'!L$2:L$172,'1. Datos'!L55)-1)/2</f>
        <v>10.5</v>
      </c>
      <c r="F55">
        <f>RANK('1. Datos'!M55,'1. Datos'!M$2:M$172,1)+(COUNTIF('1. Datos'!M$2:M$172,'1. Datos'!M55)-1)/2</f>
        <v>57.5</v>
      </c>
      <c r="G55">
        <f>RANK('1. Datos'!N55,'1. Datos'!N$2:N$172,1)+(COUNTIF('1. Datos'!N$2:N$172,'1. Datos'!N55)-1)/2</f>
        <v>4.5</v>
      </c>
      <c r="H55">
        <f>RANK('1. Datos'!O55,'1. Datos'!O$2:O$172,1)+(COUNTIF('1. Datos'!O$2:O$172,'1. Datos'!O55)-1)/2</f>
        <v>1</v>
      </c>
      <c r="I55">
        <f>RANK('1. Datos'!P55,'1. Datos'!P$2:P$172,1)+(COUNTIF('1. Datos'!P$2:P$172,'1. Datos'!P55)-1)/2</f>
        <v>5.5</v>
      </c>
      <c r="J55">
        <f>RANK('1. Datos'!Q55,'1. Datos'!Q$2:Q$172,1)+(COUNTIF('1. Datos'!Q$2:Q$172,'1. Datos'!Q55)-1)/2</f>
        <v>1.5</v>
      </c>
      <c r="K55">
        <f>RANK('1. Datos'!R55,'1. Datos'!R$2:R$172,1)+(COUNTIF('1. Datos'!R$2:R$172,'1. Datos'!R55)-1)/2</f>
        <v>1</v>
      </c>
      <c r="L55">
        <f>RANK('1. Datos'!S55,'1. Datos'!S$2:S$172,1)+(COUNTIF('1. Datos'!S$2:S$172,'1. Datos'!S55)-1)/2</f>
        <v>1</v>
      </c>
    </row>
    <row r="56" spans="1:12" ht="15" customHeight="1" x14ac:dyDescent="0.45">
      <c r="A56">
        <f>RANK('1. Datos'!H56,'1. Datos'!H$2:H$172,1)+(COUNTIF('1. Datos'!H$2:H$172,'1. Datos'!H56)-1)/2</f>
        <v>125</v>
      </c>
      <c r="B56">
        <f>RANK('1. Datos'!I56,'1. Datos'!I$2:I$172,1)+(COUNTIF('1. Datos'!I$2:I$172,'1. Datos'!I56)-1)/2</f>
        <v>57.5</v>
      </c>
      <c r="C56">
        <f>RANK('1. Datos'!J56,'1. Datos'!J$2:J$172,1)+(COUNTIF('1. Datos'!J$2:J$172,'1. Datos'!J56)-1)/2</f>
        <v>62</v>
      </c>
      <c r="D56">
        <f>RANK('1. Datos'!K56,'1. Datos'!K$2:K$172,1)+(COUNTIF('1. Datos'!K$2:K$172,'1. Datos'!K56)-1)/2</f>
        <v>92.5</v>
      </c>
      <c r="E56">
        <f>RANK('1. Datos'!L56,'1. Datos'!L$2:L$172,1)+(COUNTIF('1. Datos'!L$2:L$172,'1. Datos'!L56)-1)/2</f>
        <v>55.5</v>
      </c>
      <c r="F56">
        <f>RANK('1. Datos'!M56,'1. Datos'!M$2:M$172,1)+(COUNTIF('1. Datos'!M$2:M$172,'1. Datos'!M56)-1)/2</f>
        <v>139.5</v>
      </c>
      <c r="G56">
        <f>RANK('1. Datos'!N56,'1. Datos'!N$2:N$172,1)+(COUNTIF('1. Datos'!N$2:N$172,'1. Datos'!N56)-1)/2</f>
        <v>127</v>
      </c>
      <c r="H56">
        <f>RANK('1. Datos'!O56,'1. Datos'!O$2:O$172,1)+(COUNTIF('1. Datos'!O$2:O$172,'1. Datos'!O56)-1)/2</f>
        <v>126</v>
      </c>
      <c r="I56">
        <f>RANK('1. Datos'!P56,'1. Datos'!P$2:P$172,1)+(COUNTIF('1. Datos'!P$2:P$172,'1. Datos'!P56)-1)/2</f>
        <v>122</v>
      </c>
      <c r="J56">
        <f>RANK('1. Datos'!Q56,'1. Datos'!Q$2:Q$172,1)+(COUNTIF('1. Datos'!Q$2:Q$172,'1. Datos'!Q56)-1)/2</f>
        <v>123</v>
      </c>
      <c r="K56">
        <f>RANK('1. Datos'!R56,'1. Datos'!R$2:R$172,1)+(COUNTIF('1. Datos'!R$2:R$172,'1. Datos'!R56)-1)/2</f>
        <v>33.5</v>
      </c>
      <c r="L56">
        <f>RANK('1. Datos'!S56,'1. Datos'!S$2:S$172,1)+(COUNTIF('1. Datos'!S$2:S$172,'1. Datos'!S56)-1)/2</f>
        <v>124.5</v>
      </c>
    </row>
    <row r="57" spans="1:12" ht="15" customHeight="1" x14ac:dyDescent="0.45">
      <c r="A57">
        <f>RANK('1. Datos'!H57,'1. Datos'!H$2:H$172,1)+(COUNTIF('1. Datos'!H$2:H$172,'1. Datos'!H57)-1)/2</f>
        <v>125</v>
      </c>
      <c r="B57">
        <f>RANK('1. Datos'!I57,'1. Datos'!I$2:I$172,1)+(COUNTIF('1. Datos'!I$2:I$172,'1. Datos'!I57)-1)/2</f>
        <v>138</v>
      </c>
      <c r="C57">
        <f>RANK('1. Datos'!J57,'1. Datos'!J$2:J$172,1)+(COUNTIF('1. Datos'!J$2:J$172,'1. Datos'!J57)-1)/2</f>
        <v>137.5</v>
      </c>
      <c r="D57">
        <f>RANK('1. Datos'!K57,'1. Datos'!K$2:K$172,1)+(COUNTIF('1. Datos'!K$2:K$172,'1. Datos'!K57)-1)/2</f>
        <v>149</v>
      </c>
      <c r="E57">
        <f>RANK('1. Datos'!L57,'1. Datos'!L$2:L$172,1)+(COUNTIF('1. Datos'!L$2:L$172,'1. Datos'!L57)-1)/2</f>
        <v>55.5</v>
      </c>
      <c r="F57">
        <f>RANK('1. Datos'!M57,'1. Datos'!M$2:M$172,1)+(COUNTIF('1. Datos'!M$2:M$172,'1. Datos'!M57)-1)/2</f>
        <v>57.5</v>
      </c>
      <c r="G57">
        <f>RANK('1. Datos'!N57,'1. Datos'!N$2:N$172,1)+(COUNTIF('1. Datos'!N$2:N$172,'1. Datos'!N57)-1)/2</f>
        <v>53</v>
      </c>
      <c r="H57">
        <f>RANK('1. Datos'!O57,'1. Datos'!O$2:O$172,1)+(COUNTIF('1. Datos'!O$2:O$172,'1. Datos'!O57)-1)/2</f>
        <v>126</v>
      </c>
      <c r="I57">
        <f>RANK('1. Datos'!P57,'1. Datos'!P$2:P$172,1)+(COUNTIF('1. Datos'!P$2:P$172,'1. Datos'!P57)-1)/2</f>
        <v>41.5</v>
      </c>
      <c r="J57">
        <f>RANK('1. Datos'!Q57,'1. Datos'!Q$2:Q$172,1)+(COUNTIF('1. Datos'!Q$2:Q$172,'1. Datos'!Q57)-1)/2</f>
        <v>38.5</v>
      </c>
      <c r="K57">
        <f>RANK('1. Datos'!R57,'1. Datos'!R$2:R$172,1)+(COUNTIF('1. Datos'!R$2:R$172,'1. Datos'!R57)-1)/2</f>
        <v>33.5</v>
      </c>
      <c r="L57">
        <f>RANK('1. Datos'!S57,'1. Datos'!S$2:S$172,1)+(COUNTIF('1. Datos'!S$2:S$172,'1. Datos'!S57)-1)/2</f>
        <v>51.5</v>
      </c>
    </row>
    <row r="58" spans="1:12" ht="15" customHeight="1" x14ac:dyDescent="0.45">
      <c r="A58">
        <f>RANK('1. Datos'!H58,'1. Datos'!H$2:H$172,1)+(COUNTIF('1. Datos'!H$2:H$172,'1. Datos'!H58)-1)/2</f>
        <v>41.5</v>
      </c>
      <c r="B58">
        <f>RANK('1. Datos'!I58,'1. Datos'!I$2:I$172,1)+(COUNTIF('1. Datos'!I$2:I$172,'1. Datos'!I58)-1)/2</f>
        <v>57.5</v>
      </c>
      <c r="C58">
        <f>RANK('1. Datos'!J58,'1. Datos'!J$2:J$172,1)+(COUNTIF('1. Datos'!J$2:J$172,'1. Datos'!J58)-1)/2</f>
        <v>137.5</v>
      </c>
      <c r="D58">
        <f>RANK('1. Datos'!K58,'1. Datos'!K$2:K$172,1)+(COUNTIF('1. Datos'!K$2:K$172,'1. Datos'!K58)-1)/2</f>
        <v>149</v>
      </c>
      <c r="E58">
        <f>RANK('1. Datos'!L58,'1. Datos'!L$2:L$172,1)+(COUNTIF('1. Datos'!L$2:L$172,'1. Datos'!L58)-1)/2</f>
        <v>132</v>
      </c>
      <c r="F58">
        <f>RANK('1. Datos'!M58,'1. Datos'!M$2:M$172,1)+(COUNTIF('1. Datos'!M$2:M$172,'1. Datos'!M58)-1)/2</f>
        <v>139.5</v>
      </c>
      <c r="G58">
        <f>RANK('1. Datos'!N58,'1. Datos'!N$2:N$172,1)+(COUNTIF('1. Datos'!N$2:N$172,'1. Datos'!N58)-1)/2</f>
        <v>53</v>
      </c>
      <c r="H58">
        <f>RANK('1. Datos'!O58,'1. Datos'!O$2:O$172,1)+(COUNTIF('1. Datos'!O$2:O$172,'1. Datos'!O58)-1)/2</f>
        <v>49</v>
      </c>
      <c r="I58">
        <f>RANK('1. Datos'!P58,'1. Datos'!P$2:P$172,1)+(COUNTIF('1. Datos'!P$2:P$172,'1. Datos'!P58)-1)/2</f>
        <v>41.5</v>
      </c>
      <c r="J58">
        <f>RANK('1. Datos'!Q58,'1. Datos'!Q$2:Q$172,1)+(COUNTIF('1. Datos'!Q$2:Q$172,'1. Datos'!Q58)-1)/2</f>
        <v>38.5</v>
      </c>
      <c r="K58">
        <f>RANK('1. Datos'!R58,'1. Datos'!R$2:R$172,1)+(COUNTIF('1. Datos'!R$2:R$172,'1. Datos'!R58)-1)/2</f>
        <v>118.5</v>
      </c>
      <c r="L58">
        <f>RANK('1. Datos'!S58,'1. Datos'!S$2:S$172,1)+(COUNTIF('1. Datos'!S$2:S$172,'1. Datos'!S58)-1)/2</f>
        <v>124.5</v>
      </c>
    </row>
    <row r="59" spans="1:12" ht="15" customHeight="1" x14ac:dyDescent="0.45">
      <c r="A59">
        <f>RANK('1. Datos'!H59,'1. Datos'!H$2:H$172,1)+(COUNTIF('1. Datos'!H$2:H$172,'1. Datos'!H59)-1)/2</f>
        <v>41.5</v>
      </c>
      <c r="B59">
        <f>RANK('1. Datos'!I59,'1. Datos'!I$2:I$172,1)+(COUNTIF('1. Datos'!I$2:I$172,'1. Datos'!I59)-1)/2</f>
        <v>57.5</v>
      </c>
      <c r="C59">
        <f>RANK('1. Datos'!J59,'1. Datos'!J$2:J$172,1)+(COUNTIF('1. Datos'!J$2:J$172,'1. Datos'!J59)-1)/2</f>
        <v>10.5</v>
      </c>
      <c r="D59">
        <f>RANK('1. Datos'!K59,'1. Datos'!K$2:K$172,1)+(COUNTIF('1. Datos'!K$2:K$172,'1. Datos'!K59)-1)/2</f>
        <v>39</v>
      </c>
      <c r="E59">
        <f>RANK('1. Datos'!L59,'1. Datos'!L$2:L$172,1)+(COUNTIF('1. Datos'!L$2:L$172,'1. Datos'!L59)-1)/2</f>
        <v>10.5</v>
      </c>
      <c r="F59">
        <f>RANK('1. Datos'!M59,'1. Datos'!M$2:M$172,1)+(COUNTIF('1. Datos'!M$2:M$172,'1. Datos'!M59)-1)/2</f>
        <v>4</v>
      </c>
      <c r="G59">
        <f>RANK('1. Datos'!N59,'1. Datos'!N$2:N$172,1)+(COUNTIF('1. Datos'!N$2:N$172,'1. Datos'!N59)-1)/2</f>
        <v>4.5</v>
      </c>
      <c r="H59">
        <f>RANK('1. Datos'!O59,'1. Datos'!O$2:O$172,1)+(COUNTIF('1. Datos'!O$2:O$172,'1. Datos'!O59)-1)/2</f>
        <v>9.5</v>
      </c>
      <c r="I59">
        <f>RANK('1. Datos'!P59,'1. Datos'!P$2:P$172,1)+(COUNTIF('1. Datos'!P$2:P$172,'1. Datos'!P59)-1)/2</f>
        <v>41.5</v>
      </c>
      <c r="J59">
        <f>RANK('1. Datos'!Q59,'1. Datos'!Q$2:Q$172,1)+(COUNTIF('1. Datos'!Q$2:Q$172,'1. Datos'!Q59)-1)/2</f>
        <v>1.5</v>
      </c>
      <c r="K59">
        <f>RANK('1. Datos'!R59,'1. Datos'!R$2:R$172,1)+(COUNTIF('1. Datos'!R$2:R$172,'1. Datos'!R59)-1)/2</f>
        <v>33.5</v>
      </c>
      <c r="L59">
        <f>RANK('1. Datos'!S59,'1. Datos'!S$2:S$172,1)+(COUNTIF('1. Datos'!S$2:S$172,'1. Datos'!S59)-1)/2</f>
        <v>14</v>
      </c>
    </row>
    <row r="60" spans="1:12" ht="15" customHeight="1" x14ac:dyDescent="0.45">
      <c r="A60">
        <f>RANK('1. Datos'!H60,'1. Datos'!H$2:H$172,1)+(COUNTIF('1. Datos'!H$2:H$172,'1. Datos'!H60)-1)/2</f>
        <v>41.5</v>
      </c>
      <c r="B60">
        <f>RANK('1. Datos'!I60,'1. Datos'!I$2:I$172,1)+(COUNTIF('1. Datos'!I$2:I$172,'1. Datos'!I60)-1)/2</f>
        <v>138</v>
      </c>
      <c r="C60">
        <f>RANK('1. Datos'!J60,'1. Datos'!J$2:J$172,1)+(COUNTIF('1. Datos'!J$2:J$172,'1. Datos'!J60)-1)/2</f>
        <v>137.5</v>
      </c>
      <c r="D60">
        <f>RANK('1. Datos'!K60,'1. Datos'!K$2:K$172,1)+(COUNTIF('1. Datos'!K$2:K$172,'1. Datos'!K60)-1)/2</f>
        <v>11</v>
      </c>
      <c r="E60">
        <f>RANK('1. Datos'!L60,'1. Datos'!L$2:L$172,1)+(COUNTIF('1. Datos'!L$2:L$172,'1. Datos'!L60)-1)/2</f>
        <v>55.5</v>
      </c>
      <c r="F60">
        <f>RANK('1. Datos'!M60,'1. Datos'!M$2:M$172,1)+(COUNTIF('1. Datos'!M$2:M$172,'1. Datos'!M60)-1)/2</f>
        <v>57.5</v>
      </c>
      <c r="G60">
        <f>RANK('1. Datos'!N60,'1. Datos'!N$2:N$172,1)+(COUNTIF('1. Datos'!N$2:N$172,'1. Datos'!N60)-1)/2</f>
        <v>16</v>
      </c>
      <c r="H60">
        <f>RANK('1. Datos'!O60,'1. Datos'!O$2:O$172,1)+(COUNTIF('1. Datos'!O$2:O$172,'1. Datos'!O60)-1)/2</f>
        <v>49</v>
      </c>
      <c r="I60">
        <f>RANK('1. Datos'!P60,'1. Datos'!P$2:P$172,1)+(COUNTIF('1. Datos'!P$2:P$172,'1. Datos'!P60)-1)/2</f>
        <v>5.5</v>
      </c>
      <c r="J60">
        <f>RANK('1. Datos'!Q60,'1. Datos'!Q$2:Q$172,1)+(COUNTIF('1. Datos'!Q$2:Q$172,'1. Datos'!Q60)-1)/2</f>
        <v>38.5</v>
      </c>
      <c r="K60">
        <f>RANK('1. Datos'!R60,'1. Datos'!R$2:R$172,1)+(COUNTIF('1. Datos'!R$2:R$172,'1. Datos'!R60)-1)/2</f>
        <v>33.5</v>
      </c>
      <c r="L60">
        <f>RANK('1. Datos'!S60,'1. Datos'!S$2:S$172,1)+(COUNTIF('1. Datos'!S$2:S$172,'1. Datos'!S60)-1)/2</f>
        <v>51.5</v>
      </c>
    </row>
    <row r="61" spans="1:12" ht="15" customHeight="1" x14ac:dyDescent="0.45">
      <c r="A61">
        <f>RANK('1. Datos'!H61,'1. Datos'!H$2:H$172,1)+(COUNTIF('1. Datos'!H$2:H$172,'1. Datos'!H61)-1)/2</f>
        <v>41.5</v>
      </c>
      <c r="B61">
        <f>RANK('1. Datos'!I61,'1. Datos'!I$2:I$172,1)+(COUNTIF('1. Datos'!I$2:I$172,'1. Datos'!I61)-1)/2</f>
        <v>57.5</v>
      </c>
      <c r="C61">
        <f>RANK('1. Datos'!J61,'1. Datos'!J$2:J$172,1)+(COUNTIF('1. Datos'!J$2:J$172,'1. Datos'!J61)-1)/2</f>
        <v>62</v>
      </c>
      <c r="D61">
        <f>RANK('1. Datos'!K61,'1. Datos'!K$2:K$172,1)+(COUNTIF('1. Datos'!K$2:K$172,'1. Datos'!K61)-1)/2</f>
        <v>92.5</v>
      </c>
      <c r="E61">
        <f>RANK('1. Datos'!L61,'1. Datos'!L$2:L$172,1)+(COUNTIF('1. Datos'!L$2:L$172,'1. Datos'!L61)-1)/2</f>
        <v>55.5</v>
      </c>
      <c r="F61">
        <f>RANK('1. Datos'!M61,'1. Datos'!M$2:M$172,1)+(COUNTIF('1. Datos'!M$2:M$172,'1. Datos'!M61)-1)/2</f>
        <v>139.5</v>
      </c>
      <c r="G61">
        <f>RANK('1. Datos'!N61,'1. Datos'!N$2:N$172,1)+(COUNTIF('1. Datos'!N$2:N$172,'1. Datos'!N61)-1)/2</f>
        <v>127</v>
      </c>
      <c r="H61">
        <f>RANK('1. Datos'!O61,'1. Datos'!O$2:O$172,1)+(COUNTIF('1. Datos'!O$2:O$172,'1. Datos'!O61)-1)/2</f>
        <v>126</v>
      </c>
      <c r="I61">
        <f>RANK('1. Datos'!P61,'1. Datos'!P$2:P$172,1)+(COUNTIF('1. Datos'!P$2:P$172,'1. Datos'!P61)-1)/2</f>
        <v>122</v>
      </c>
      <c r="J61">
        <f>RANK('1. Datos'!Q61,'1. Datos'!Q$2:Q$172,1)+(COUNTIF('1. Datos'!Q$2:Q$172,'1. Datos'!Q61)-1)/2</f>
        <v>123</v>
      </c>
      <c r="K61">
        <f>RANK('1. Datos'!R61,'1. Datos'!R$2:R$172,1)+(COUNTIF('1. Datos'!R$2:R$172,'1. Datos'!R61)-1)/2</f>
        <v>118.5</v>
      </c>
      <c r="L61">
        <f>RANK('1. Datos'!S61,'1. Datos'!S$2:S$172,1)+(COUNTIF('1. Datos'!S$2:S$172,'1. Datos'!S61)-1)/2</f>
        <v>124.5</v>
      </c>
    </row>
    <row r="62" spans="1:12" ht="15" customHeight="1" x14ac:dyDescent="0.45">
      <c r="A62">
        <f>RANK('1. Datos'!H62,'1. Datos'!H$2:H$172,1)+(COUNTIF('1. Datos'!H$2:H$172,'1. Datos'!H62)-1)/2</f>
        <v>125</v>
      </c>
      <c r="B62">
        <f>RANK('1. Datos'!I62,'1. Datos'!I$2:I$172,1)+(COUNTIF('1. Datos'!I$2:I$172,'1. Datos'!I62)-1)/2</f>
        <v>138</v>
      </c>
      <c r="C62">
        <f>RANK('1. Datos'!J62,'1. Datos'!J$2:J$172,1)+(COUNTIF('1. Datos'!J$2:J$172,'1. Datos'!J62)-1)/2</f>
        <v>62</v>
      </c>
      <c r="D62">
        <f>RANK('1. Datos'!K62,'1. Datos'!K$2:K$172,1)+(COUNTIF('1. Datos'!K$2:K$172,'1. Datos'!K62)-1)/2</f>
        <v>92.5</v>
      </c>
      <c r="E62">
        <f>RANK('1. Datos'!L62,'1. Datos'!L$2:L$172,1)+(COUNTIF('1. Datos'!L$2:L$172,'1. Datos'!L62)-1)/2</f>
        <v>55.5</v>
      </c>
      <c r="F62">
        <f>RANK('1. Datos'!M62,'1. Datos'!M$2:M$172,1)+(COUNTIF('1. Datos'!M$2:M$172,'1. Datos'!M62)-1)/2</f>
        <v>57.5</v>
      </c>
      <c r="G62">
        <f>RANK('1. Datos'!N62,'1. Datos'!N$2:N$172,1)+(COUNTIF('1. Datos'!N$2:N$172,'1. Datos'!N62)-1)/2</f>
        <v>16</v>
      </c>
      <c r="H62">
        <f>RANK('1. Datos'!O62,'1. Datos'!O$2:O$172,1)+(COUNTIF('1. Datos'!O$2:O$172,'1. Datos'!O62)-1)/2</f>
        <v>9.5</v>
      </c>
      <c r="I62">
        <f>RANK('1. Datos'!P62,'1. Datos'!P$2:P$172,1)+(COUNTIF('1. Datos'!P$2:P$172,'1. Datos'!P62)-1)/2</f>
        <v>41.5</v>
      </c>
      <c r="J62">
        <f>RANK('1. Datos'!Q62,'1. Datos'!Q$2:Q$172,1)+(COUNTIF('1. Datos'!Q$2:Q$172,'1. Datos'!Q62)-1)/2</f>
        <v>38.5</v>
      </c>
      <c r="K62">
        <f>RANK('1. Datos'!R62,'1. Datos'!R$2:R$172,1)+(COUNTIF('1. Datos'!R$2:R$172,'1. Datos'!R62)-1)/2</f>
        <v>118.5</v>
      </c>
      <c r="L62">
        <f>RANK('1. Datos'!S62,'1. Datos'!S$2:S$172,1)+(COUNTIF('1. Datos'!S$2:S$172,'1. Datos'!S62)-1)/2</f>
        <v>51.5</v>
      </c>
    </row>
    <row r="63" spans="1:12" ht="15" customHeight="1" x14ac:dyDescent="0.45">
      <c r="A63">
        <f>RANK('1. Datos'!H63,'1. Datos'!H$2:H$172,1)+(COUNTIF('1. Datos'!H$2:H$172,'1. Datos'!H63)-1)/2</f>
        <v>125</v>
      </c>
      <c r="B63">
        <f>RANK('1. Datos'!I63,'1. Datos'!I$2:I$172,1)+(COUNTIF('1. Datos'!I$2:I$172,'1. Datos'!I63)-1)/2</f>
        <v>57.5</v>
      </c>
      <c r="C63">
        <f>RANK('1. Datos'!J63,'1. Datos'!J$2:J$172,1)+(COUNTIF('1. Datos'!J$2:J$172,'1. Datos'!J63)-1)/2</f>
        <v>62</v>
      </c>
      <c r="D63">
        <f>RANK('1. Datos'!K63,'1. Datos'!K$2:K$172,1)+(COUNTIF('1. Datos'!K$2:K$172,'1. Datos'!K63)-1)/2</f>
        <v>92.5</v>
      </c>
      <c r="E63">
        <f>RANK('1. Datos'!L63,'1. Datos'!L$2:L$172,1)+(COUNTIF('1. Datos'!L$2:L$172,'1. Datos'!L63)-1)/2</f>
        <v>132</v>
      </c>
      <c r="F63">
        <f>RANK('1. Datos'!M63,'1. Datos'!M$2:M$172,1)+(COUNTIF('1. Datos'!M$2:M$172,'1. Datos'!M63)-1)/2</f>
        <v>57.5</v>
      </c>
      <c r="G63">
        <f>RANK('1. Datos'!N63,'1. Datos'!N$2:N$172,1)+(COUNTIF('1. Datos'!N$2:N$172,'1. Datos'!N63)-1)/2</f>
        <v>127</v>
      </c>
      <c r="H63">
        <f>RANK('1. Datos'!O63,'1. Datos'!O$2:O$172,1)+(COUNTIF('1. Datos'!O$2:O$172,'1. Datos'!O63)-1)/2</f>
        <v>126</v>
      </c>
      <c r="I63">
        <f>RANK('1. Datos'!P63,'1. Datos'!P$2:P$172,1)+(COUNTIF('1. Datos'!P$2:P$172,'1. Datos'!P63)-1)/2</f>
        <v>122</v>
      </c>
      <c r="J63">
        <f>RANK('1. Datos'!Q63,'1. Datos'!Q$2:Q$172,1)+(COUNTIF('1. Datos'!Q$2:Q$172,'1. Datos'!Q63)-1)/2</f>
        <v>123</v>
      </c>
      <c r="K63">
        <f>RANK('1. Datos'!R63,'1. Datos'!R$2:R$172,1)+(COUNTIF('1. Datos'!R$2:R$172,'1. Datos'!R63)-1)/2</f>
        <v>33.5</v>
      </c>
      <c r="L63">
        <f>RANK('1. Datos'!S63,'1. Datos'!S$2:S$172,1)+(COUNTIF('1. Datos'!S$2:S$172,'1. Datos'!S63)-1)/2</f>
        <v>51.5</v>
      </c>
    </row>
    <row r="64" spans="1:12" ht="15" customHeight="1" x14ac:dyDescent="0.45">
      <c r="A64">
        <f>RANK('1. Datos'!H64,'1. Datos'!H$2:H$172,1)+(COUNTIF('1. Datos'!H$2:H$172,'1. Datos'!H64)-1)/2</f>
        <v>125</v>
      </c>
      <c r="B64">
        <f>RANK('1. Datos'!I64,'1. Datos'!I$2:I$172,1)+(COUNTIF('1. Datos'!I$2:I$172,'1. Datos'!I64)-1)/2</f>
        <v>138</v>
      </c>
      <c r="C64">
        <f>RANK('1. Datos'!J64,'1. Datos'!J$2:J$172,1)+(COUNTIF('1. Datos'!J$2:J$172,'1. Datos'!J64)-1)/2</f>
        <v>137.5</v>
      </c>
      <c r="D64">
        <f>RANK('1. Datos'!K64,'1. Datos'!K$2:K$172,1)+(COUNTIF('1. Datos'!K$2:K$172,'1. Datos'!K64)-1)/2</f>
        <v>149</v>
      </c>
      <c r="E64">
        <f>RANK('1. Datos'!L64,'1. Datos'!L$2:L$172,1)+(COUNTIF('1. Datos'!L$2:L$172,'1. Datos'!L64)-1)/2</f>
        <v>55.5</v>
      </c>
      <c r="F64">
        <f>RANK('1. Datos'!M64,'1. Datos'!M$2:M$172,1)+(COUNTIF('1. Datos'!M$2:M$172,'1. Datos'!M64)-1)/2</f>
        <v>57.5</v>
      </c>
      <c r="G64">
        <f>RANK('1. Datos'!N64,'1. Datos'!N$2:N$172,1)+(COUNTIF('1. Datos'!N$2:N$172,'1. Datos'!N64)-1)/2</f>
        <v>127</v>
      </c>
      <c r="H64">
        <f>RANK('1. Datos'!O64,'1. Datos'!O$2:O$172,1)+(COUNTIF('1. Datos'!O$2:O$172,'1. Datos'!O64)-1)/2</f>
        <v>126</v>
      </c>
      <c r="I64">
        <f>RANK('1. Datos'!P64,'1. Datos'!P$2:P$172,1)+(COUNTIF('1. Datos'!P$2:P$172,'1. Datos'!P64)-1)/2</f>
        <v>122</v>
      </c>
      <c r="J64">
        <f>RANK('1. Datos'!Q64,'1. Datos'!Q$2:Q$172,1)+(COUNTIF('1. Datos'!Q$2:Q$172,'1. Datos'!Q64)-1)/2</f>
        <v>123</v>
      </c>
      <c r="K64">
        <f>RANK('1. Datos'!R64,'1. Datos'!R$2:R$172,1)+(COUNTIF('1. Datos'!R$2:R$172,'1. Datos'!R64)-1)/2</f>
        <v>118.5</v>
      </c>
      <c r="L64">
        <f>RANK('1. Datos'!S64,'1. Datos'!S$2:S$172,1)+(COUNTIF('1. Datos'!S$2:S$172,'1. Datos'!S64)-1)/2</f>
        <v>124.5</v>
      </c>
    </row>
    <row r="65" spans="1:12" ht="15" customHeight="1" x14ac:dyDescent="0.45">
      <c r="A65">
        <f>RANK('1. Datos'!H65,'1. Datos'!H$2:H$172,1)+(COUNTIF('1. Datos'!H$2:H$172,'1. Datos'!H65)-1)/2</f>
        <v>41.5</v>
      </c>
      <c r="B65">
        <f>RANK('1. Datos'!I65,'1. Datos'!I$2:I$172,1)+(COUNTIF('1. Datos'!I$2:I$172,'1. Datos'!I65)-1)/2</f>
        <v>57.5</v>
      </c>
      <c r="C65">
        <f>RANK('1. Datos'!J65,'1. Datos'!J$2:J$172,1)+(COUNTIF('1. Datos'!J$2:J$172,'1. Datos'!J65)-1)/2</f>
        <v>62</v>
      </c>
      <c r="D65">
        <f>RANK('1. Datos'!K65,'1. Datos'!K$2:K$172,1)+(COUNTIF('1. Datos'!K$2:K$172,'1. Datos'!K65)-1)/2</f>
        <v>149</v>
      </c>
      <c r="E65">
        <f>RANK('1. Datos'!L65,'1. Datos'!L$2:L$172,1)+(COUNTIF('1. Datos'!L$2:L$172,'1. Datos'!L65)-1)/2</f>
        <v>132</v>
      </c>
      <c r="F65">
        <f>RANK('1. Datos'!M65,'1. Datos'!M$2:M$172,1)+(COUNTIF('1. Datos'!M$2:M$172,'1. Datos'!M65)-1)/2</f>
        <v>57.5</v>
      </c>
      <c r="G65">
        <f>RANK('1. Datos'!N65,'1. Datos'!N$2:N$172,1)+(COUNTIF('1. Datos'!N$2:N$172,'1. Datos'!N65)-1)/2</f>
        <v>16</v>
      </c>
      <c r="H65">
        <f>RANK('1. Datos'!O65,'1. Datos'!O$2:O$172,1)+(COUNTIF('1. Datos'!O$2:O$172,'1. Datos'!O65)-1)/2</f>
        <v>9.5</v>
      </c>
      <c r="I65">
        <f>RANK('1. Datos'!P65,'1. Datos'!P$2:P$172,1)+(COUNTIF('1. Datos'!P$2:P$172,'1. Datos'!P65)-1)/2</f>
        <v>41.5</v>
      </c>
      <c r="J65">
        <f>RANK('1. Datos'!Q65,'1. Datos'!Q$2:Q$172,1)+(COUNTIF('1. Datos'!Q$2:Q$172,'1. Datos'!Q65)-1)/2</f>
        <v>38.5</v>
      </c>
      <c r="K65">
        <f>RANK('1. Datos'!R65,'1. Datos'!R$2:R$172,1)+(COUNTIF('1. Datos'!R$2:R$172,'1. Datos'!R65)-1)/2</f>
        <v>33.5</v>
      </c>
      <c r="L65">
        <f>RANK('1. Datos'!S65,'1. Datos'!S$2:S$172,1)+(COUNTIF('1. Datos'!S$2:S$172,'1. Datos'!S65)-1)/2</f>
        <v>14</v>
      </c>
    </row>
    <row r="66" spans="1:12" ht="15" customHeight="1" x14ac:dyDescent="0.45">
      <c r="A66">
        <f>RANK('1. Datos'!H66,'1. Datos'!H$2:H$172,1)+(COUNTIF('1. Datos'!H$2:H$172,'1. Datos'!H66)-1)/2</f>
        <v>41.5</v>
      </c>
      <c r="B66">
        <f>RANK('1. Datos'!I66,'1. Datos'!I$2:I$172,1)+(COUNTIF('1. Datos'!I$2:I$172,'1. Datos'!I66)-1)/2</f>
        <v>57.5</v>
      </c>
      <c r="C66">
        <f>RANK('1. Datos'!J66,'1. Datos'!J$2:J$172,1)+(COUNTIF('1. Datos'!J$2:J$172,'1. Datos'!J66)-1)/2</f>
        <v>62</v>
      </c>
      <c r="D66">
        <f>RANK('1. Datos'!K66,'1. Datos'!K$2:K$172,1)+(COUNTIF('1. Datos'!K$2:K$172,'1. Datos'!K66)-1)/2</f>
        <v>149</v>
      </c>
      <c r="E66">
        <f>RANK('1. Datos'!L66,'1. Datos'!L$2:L$172,1)+(COUNTIF('1. Datos'!L$2:L$172,'1. Datos'!L66)-1)/2</f>
        <v>132</v>
      </c>
      <c r="F66">
        <f>RANK('1. Datos'!M66,'1. Datos'!M$2:M$172,1)+(COUNTIF('1. Datos'!M$2:M$172,'1. Datos'!M66)-1)/2</f>
        <v>139.5</v>
      </c>
      <c r="G66">
        <f>RANK('1. Datos'!N66,'1. Datos'!N$2:N$172,1)+(COUNTIF('1. Datos'!N$2:N$172,'1. Datos'!N66)-1)/2</f>
        <v>53</v>
      </c>
      <c r="H66">
        <f>RANK('1. Datos'!O66,'1. Datos'!O$2:O$172,1)+(COUNTIF('1. Datos'!O$2:O$172,'1. Datos'!O66)-1)/2</f>
        <v>49</v>
      </c>
      <c r="I66">
        <f>RANK('1. Datos'!P66,'1. Datos'!P$2:P$172,1)+(COUNTIF('1. Datos'!P$2:P$172,'1. Datos'!P66)-1)/2</f>
        <v>41.5</v>
      </c>
      <c r="J66">
        <f>RANK('1. Datos'!Q66,'1. Datos'!Q$2:Q$172,1)+(COUNTIF('1. Datos'!Q$2:Q$172,'1. Datos'!Q66)-1)/2</f>
        <v>123</v>
      </c>
      <c r="K66">
        <f>RANK('1. Datos'!R66,'1. Datos'!R$2:R$172,1)+(COUNTIF('1. Datos'!R$2:R$172,'1. Datos'!R66)-1)/2</f>
        <v>33.5</v>
      </c>
      <c r="L66">
        <f>RANK('1. Datos'!S66,'1. Datos'!S$2:S$172,1)+(COUNTIF('1. Datos'!S$2:S$172,'1. Datos'!S66)-1)/2</f>
        <v>124.5</v>
      </c>
    </row>
    <row r="67" spans="1:12" ht="15" customHeight="1" x14ac:dyDescent="0.45">
      <c r="A67">
        <f>RANK('1. Datos'!H67,'1. Datos'!H$2:H$172,1)+(COUNTIF('1. Datos'!H$2:H$172,'1. Datos'!H67)-1)/2</f>
        <v>41.5</v>
      </c>
      <c r="B67">
        <f>RANK('1. Datos'!I67,'1. Datos'!I$2:I$172,1)+(COUNTIF('1. Datos'!I$2:I$172,'1. Datos'!I67)-1)/2</f>
        <v>138</v>
      </c>
      <c r="C67">
        <f>RANK('1. Datos'!J67,'1. Datos'!J$2:J$172,1)+(COUNTIF('1. Datos'!J$2:J$172,'1. Datos'!J67)-1)/2</f>
        <v>62</v>
      </c>
      <c r="D67">
        <f>RANK('1. Datos'!K67,'1. Datos'!K$2:K$172,1)+(COUNTIF('1. Datos'!K$2:K$172,'1. Datos'!K67)-1)/2</f>
        <v>92.5</v>
      </c>
      <c r="E67">
        <f>RANK('1. Datos'!L67,'1. Datos'!L$2:L$172,1)+(COUNTIF('1. Datos'!L$2:L$172,'1. Datos'!L67)-1)/2</f>
        <v>55.5</v>
      </c>
      <c r="F67">
        <f>RANK('1. Datos'!M67,'1. Datos'!M$2:M$172,1)+(COUNTIF('1. Datos'!M$2:M$172,'1. Datos'!M67)-1)/2</f>
        <v>57.5</v>
      </c>
      <c r="G67">
        <f>RANK('1. Datos'!N67,'1. Datos'!N$2:N$172,1)+(COUNTIF('1. Datos'!N$2:N$172,'1. Datos'!N67)-1)/2</f>
        <v>127</v>
      </c>
      <c r="H67">
        <f>RANK('1. Datos'!O67,'1. Datos'!O$2:O$172,1)+(COUNTIF('1. Datos'!O$2:O$172,'1. Datos'!O67)-1)/2</f>
        <v>126</v>
      </c>
      <c r="I67">
        <f>RANK('1. Datos'!P67,'1. Datos'!P$2:P$172,1)+(COUNTIF('1. Datos'!P$2:P$172,'1. Datos'!P67)-1)/2</f>
        <v>122</v>
      </c>
      <c r="J67">
        <f>RANK('1. Datos'!Q67,'1. Datos'!Q$2:Q$172,1)+(COUNTIF('1. Datos'!Q$2:Q$172,'1. Datos'!Q67)-1)/2</f>
        <v>123</v>
      </c>
      <c r="K67">
        <f>RANK('1. Datos'!R67,'1. Datos'!R$2:R$172,1)+(COUNTIF('1. Datos'!R$2:R$172,'1. Datos'!R67)-1)/2</f>
        <v>33.5</v>
      </c>
      <c r="L67">
        <f>RANK('1. Datos'!S67,'1. Datos'!S$2:S$172,1)+(COUNTIF('1. Datos'!S$2:S$172,'1. Datos'!S67)-1)/2</f>
        <v>124.5</v>
      </c>
    </row>
    <row r="68" spans="1:12" ht="15" customHeight="1" x14ac:dyDescent="0.45">
      <c r="A68">
        <f>RANK('1. Datos'!H68,'1. Datos'!H$2:H$172,1)+(COUNTIF('1. Datos'!H$2:H$172,'1. Datos'!H68)-1)/2</f>
        <v>125</v>
      </c>
      <c r="B68">
        <f>RANK('1. Datos'!I68,'1. Datos'!I$2:I$172,1)+(COUNTIF('1. Datos'!I$2:I$172,'1. Datos'!I68)-1)/2</f>
        <v>138</v>
      </c>
      <c r="C68">
        <f>RANK('1. Datos'!J68,'1. Datos'!J$2:J$172,1)+(COUNTIF('1. Datos'!J$2:J$172,'1. Datos'!J68)-1)/2</f>
        <v>137.5</v>
      </c>
      <c r="D68">
        <f>RANK('1. Datos'!K68,'1. Datos'!K$2:K$172,1)+(COUNTIF('1. Datos'!K$2:K$172,'1. Datos'!K68)-1)/2</f>
        <v>149</v>
      </c>
      <c r="E68">
        <f>RANK('1. Datos'!L68,'1. Datos'!L$2:L$172,1)+(COUNTIF('1. Datos'!L$2:L$172,'1. Datos'!L68)-1)/2</f>
        <v>55.5</v>
      </c>
      <c r="F68">
        <f>RANK('1. Datos'!M68,'1. Datos'!M$2:M$172,1)+(COUNTIF('1. Datos'!M$2:M$172,'1. Datos'!M68)-1)/2</f>
        <v>57.5</v>
      </c>
      <c r="G68">
        <f>RANK('1. Datos'!N68,'1. Datos'!N$2:N$172,1)+(COUNTIF('1. Datos'!N$2:N$172,'1. Datos'!N68)-1)/2</f>
        <v>127</v>
      </c>
      <c r="H68">
        <f>RANK('1. Datos'!O68,'1. Datos'!O$2:O$172,1)+(COUNTIF('1. Datos'!O$2:O$172,'1. Datos'!O68)-1)/2</f>
        <v>126</v>
      </c>
      <c r="I68">
        <f>RANK('1. Datos'!P68,'1. Datos'!P$2:P$172,1)+(COUNTIF('1. Datos'!P$2:P$172,'1. Datos'!P68)-1)/2</f>
        <v>122</v>
      </c>
      <c r="J68">
        <f>RANK('1. Datos'!Q68,'1. Datos'!Q$2:Q$172,1)+(COUNTIF('1. Datos'!Q$2:Q$172,'1. Datos'!Q68)-1)/2</f>
        <v>123</v>
      </c>
      <c r="K68">
        <f>RANK('1. Datos'!R68,'1. Datos'!R$2:R$172,1)+(COUNTIF('1. Datos'!R$2:R$172,'1. Datos'!R68)-1)/2</f>
        <v>118.5</v>
      </c>
      <c r="L68">
        <f>RANK('1. Datos'!S68,'1. Datos'!S$2:S$172,1)+(COUNTIF('1. Datos'!S$2:S$172,'1. Datos'!S68)-1)/2</f>
        <v>124.5</v>
      </c>
    </row>
    <row r="69" spans="1:12" ht="15" customHeight="1" x14ac:dyDescent="0.45">
      <c r="A69">
        <f>RANK('1. Datos'!H69,'1. Datos'!H$2:H$172,1)+(COUNTIF('1. Datos'!H$2:H$172,'1. Datos'!H69)-1)/2</f>
        <v>125</v>
      </c>
      <c r="B69">
        <f>RANK('1. Datos'!I69,'1. Datos'!I$2:I$172,1)+(COUNTIF('1. Datos'!I$2:I$172,'1. Datos'!I69)-1)/2</f>
        <v>138</v>
      </c>
      <c r="C69">
        <f>RANK('1. Datos'!J69,'1. Datos'!J$2:J$172,1)+(COUNTIF('1. Datos'!J$2:J$172,'1. Datos'!J69)-1)/2</f>
        <v>62</v>
      </c>
      <c r="D69">
        <f>RANK('1. Datos'!K69,'1. Datos'!K$2:K$172,1)+(COUNTIF('1. Datos'!K$2:K$172,'1. Datos'!K69)-1)/2</f>
        <v>92.5</v>
      </c>
      <c r="E69">
        <f>RANK('1. Datos'!L69,'1. Datos'!L$2:L$172,1)+(COUNTIF('1. Datos'!L$2:L$172,'1. Datos'!L69)-1)/2</f>
        <v>55.5</v>
      </c>
      <c r="F69">
        <f>RANK('1. Datos'!M69,'1. Datos'!M$2:M$172,1)+(COUNTIF('1. Datos'!M$2:M$172,'1. Datos'!M69)-1)/2</f>
        <v>57.5</v>
      </c>
      <c r="G69">
        <f>RANK('1. Datos'!N69,'1. Datos'!N$2:N$172,1)+(COUNTIF('1. Datos'!N$2:N$172,'1. Datos'!N69)-1)/2</f>
        <v>127</v>
      </c>
      <c r="H69">
        <f>RANK('1. Datos'!O69,'1. Datos'!O$2:O$172,1)+(COUNTIF('1. Datos'!O$2:O$172,'1. Datos'!O69)-1)/2</f>
        <v>126</v>
      </c>
      <c r="I69">
        <f>RANK('1. Datos'!P69,'1. Datos'!P$2:P$172,1)+(COUNTIF('1. Datos'!P$2:P$172,'1. Datos'!P69)-1)/2</f>
        <v>122</v>
      </c>
      <c r="J69">
        <f>RANK('1. Datos'!Q69,'1. Datos'!Q$2:Q$172,1)+(COUNTIF('1. Datos'!Q$2:Q$172,'1. Datos'!Q69)-1)/2</f>
        <v>123</v>
      </c>
      <c r="K69">
        <f>RANK('1. Datos'!R69,'1. Datos'!R$2:R$172,1)+(COUNTIF('1. Datos'!R$2:R$172,'1. Datos'!R69)-1)/2</f>
        <v>118.5</v>
      </c>
      <c r="L69">
        <f>RANK('1. Datos'!S69,'1. Datos'!S$2:S$172,1)+(COUNTIF('1. Datos'!S$2:S$172,'1. Datos'!S69)-1)/2</f>
        <v>51.5</v>
      </c>
    </row>
    <row r="70" spans="1:12" ht="15" customHeight="1" x14ac:dyDescent="0.45">
      <c r="A70">
        <f>RANK('1. Datos'!H70,'1. Datos'!H$2:H$172,1)+(COUNTIF('1. Datos'!H$2:H$172,'1. Datos'!H70)-1)/2</f>
        <v>125</v>
      </c>
      <c r="B70">
        <f>RANK('1. Datos'!I70,'1. Datos'!I$2:I$172,1)+(COUNTIF('1. Datos'!I$2:I$172,'1. Datos'!I70)-1)/2</f>
        <v>57.5</v>
      </c>
      <c r="C70">
        <f>RANK('1. Datos'!J70,'1. Datos'!J$2:J$172,1)+(COUNTIF('1. Datos'!J$2:J$172,'1. Datos'!J70)-1)/2</f>
        <v>137.5</v>
      </c>
      <c r="D70">
        <f>RANK('1. Datos'!K70,'1. Datos'!K$2:K$172,1)+(COUNTIF('1. Datos'!K$2:K$172,'1. Datos'!K70)-1)/2</f>
        <v>149</v>
      </c>
      <c r="E70">
        <f>RANK('1. Datos'!L70,'1. Datos'!L$2:L$172,1)+(COUNTIF('1. Datos'!L$2:L$172,'1. Datos'!L70)-1)/2</f>
        <v>55.5</v>
      </c>
      <c r="F70">
        <f>RANK('1. Datos'!M70,'1. Datos'!M$2:M$172,1)+(COUNTIF('1. Datos'!M$2:M$172,'1. Datos'!M70)-1)/2</f>
        <v>57.5</v>
      </c>
      <c r="G70">
        <f>RANK('1. Datos'!N70,'1. Datos'!N$2:N$172,1)+(COUNTIF('1. Datos'!N$2:N$172,'1. Datos'!N70)-1)/2</f>
        <v>127</v>
      </c>
      <c r="H70">
        <f>RANK('1. Datos'!O70,'1. Datos'!O$2:O$172,1)+(COUNTIF('1. Datos'!O$2:O$172,'1. Datos'!O70)-1)/2</f>
        <v>126</v>
      </c>
      <c r="I70">
        <f>RANK('1. Datos'!P70,'1. Datos'!P$2:P$172,1)+(COUNTIF('1. Datos'!P$2:P$172,'1. Datos'!P70)-1)/2</f>
        <v>122</v>
      </c>
      <c r="J70">
        <f>RANK('1. Datos'!Q70,'1. Datos'!Q$2:Q$172,1)+(COUNTIF('1. Datos'!Q$2:Q$172,'1. Datos'!Q70)-1)/2</f>
        <v>38.5</v>
      </c>
      <c r="K70">
        <f>RANK('1. Datos'!R70,'1. Datos'!R$2:R$172,1)+(COUNTIF('1. Datos'!R$2:R$172,'1. Datos'!R70)-1)/2</f>
        <v>118.5</v>
      </c>
      <c r="L70">
        <f>RANK('1. Datos'!S70,'1. Datos'!S$2:S$172,1)+(COUNTIF('1. Datos'!S$2:S$172,'1. Datos'!S70)-1)/2</f>
        <v>51.5</v>
      </c>
    </row>
    <row r="71" spans="1:12" ht="15" customHeight="1" x14ac:dyDescent="0.45">
      <c r="A71">
        <f>RANK('1. Datos'!H71,'1. Datos'!H$2:H$172,1)+(COUNTIF('1. Datos'!H$2:H$172,'1. Datos'!H71)-1)/2</f>
        <v>125</v>
      </c>
      <c r="B71">
        <f>RANK('1. Datos'!I71,'1. Datos'!I$2:I$172,1)+(COUNTIF('1. Datos'!I$2:I$172,'1. Datos'!I71)-1)/2</f>
        <v>138</v>
      </c>
      <c r="C71">
        <f>RANK('1. Datos'!J71,'1. Datos'!J$2:J$172,1)+(COUNTIF('1. Datos'!J$2:J$172,'1. Datos'!J71)-1)/2</f>
        <v>62</v>
      </c>
      <c r="D71">
        <f>RANK('1. Datos'!K71,'1. Datos'!K$2:K$172,1)+(COUNTIF('1. Datos'!K$2:K$172,'1. Datos'!K71)-1)/2</f>
        <v>11</v>
      </c>
      <c r="E71">
        <f>RANK('1. Datos'!L71,'1. Datos'!L$2:L$172,1)+(COUNTIF('1. Datos'!L$2:L$172,'1. Datos'!L71)-1)/2</f>
        <v>10.5</v>
      </c>
      <c r="F71">
        <f>RANK('1. Datos'!M71,'1. Datos'!M$2:M$172,1)+(COUNTIF('1. Datos'!M$2:M$172,'1. Datos'!M71)-1)/2</f>
        <v>139.5</v>
      </c>
      <c r="G71">
        <f>RANK('1. Datos'!N71,'1. Datos'!N$2:N$172,1)+(COUNTIF('1. Datos'!N$2:N$172,'1. Datos'!N71)-1)/2</f>
        <v>127</v>
      </c>
      <c r="H71">
        <f>RANK('1. Datos'!O71,'1. Datos'!O$2:O$172,1)+(COUNTIF('1. Datos'!O$2:O$172,'1. Datos'!O71)-1)/2</f>
        <v>126</v>
      </c>
      <c r="I71">
        <f>RANK('1. Datos'!P71,'1. Datos'!P$2:P$172,1)+(COUNTIF('1. Datos'!P$2:P$172,'1. Datos'!P71)-1)/2</f>
        <v>41.5</v>
      </c>
      <c r="J71">
        <f>RANK('1. Datos'!Q71,'1. Datos'!Q$2:Q$172,1)+(COUNTIF('1. Datos'!Q$2:Q$172,'1. Datos'!Q71)-1)/2</f>
        <v>123</v>
      </c>
      <c r="K71">
        <f>RANK('1. Datos'!R71,'1. Datos'!R$2:R$172,1)+(COUNTIF('1. Datos'!R$2:R$172,'1. Datos'!R71)-1)/2</f>
        <v>33.5</v>
      </c>
      <c r="L71">
        <f>RANK('1. Datos'!S71,'1. Datos'!S$2:S$172,1)+(COUNTIF('1. Datos'!S$2:S$172,'1. Datos'!S71)-1)/2</f>
        <v>51.5</v>
      </c>
    </row>
    <row r="72" spans="1:12" ht="15" customHeight="1" x14ac:dyDescent="0.45">
      <c r="A72">
        <f>RANK('1. Datos'!H72,'1. Datos'!H$2:H$172,1)+(COUNTIF('1. Datos'!H$2:H$172,'1. Datos'!H72)-1)/2</f>
        <v>41.5</v>
      </c>
      <c r="B72">
        <f>RANK('1. Datos'!I72,'1. Datos'!I$2:I$172,1)+(COUNTIF('1. Datos'!I$2:I$172,'1. Datos'!I72)-1)/2</f>
        <v>57.5</v>
      </c>
      <c r="C72">
        <f>RANK('1. Datos'!J72,'1. Datos'!J$2:J$172,1)+(COUNTIF('1. Datos'!J$2:J$172,'1. Datos'!J72)-1)/2</f>
        <v>10.5</v>
      </c>
      <c r="D72">
        <f>RANK('1. Datos'!K72,'1. Datos'!K$2:K$172,1)+(COUNTIF('1. Datos'!K$2:K$172,'1. Datos'!K72)-1)/2</f>
        <v>92.5</v>
      </c>
      <c r="E72">
        <f>RANK('1. Datos'!L72,'1. Datos'!L$2:L$172,1)+(COUNTIF('1. Datos'!L$2:L$172,'1. Datos'!L72)-1)/2</f>
        <v>55.5</v>
      </c>
      <c r="F72">
        <f>RANK('1. Datos'!M72,'1. Datos'!M$2:M$172,1)+(COUNTIF('1. Datos'!M$2:M$172,'1. Datos'!M72)-1)/2</f>
        <v>57.5</v>
      </c>
      <c r="G72">
        <f>RANK('1. Datos'!N72,'1. Datos'!N$2:N$172,1)+(COUNTIF('1. Datos'!N$2:N$172,'1. Datos'!N72)-1)/2</f>
        <v>127</v>
      </c>
      <c r="H72">
        <f>RANK('1. Datos'!O72,'1. Datos'!O$2:O$172,1)+(COUNTIF('1. Datos'!O$2:O$172,'1. Datos'!O72)-1)/2</f>
        <v>126</v>
      </c>
      <c r="I72">
        <f>RANK('1. Datos'!P72,'1. Datos'!P$2:P$172,1)+(COUNTIF('1. Datos'!P$2:P$172,'1. Datos'!P72)-1)/2</f>
        <v>122</v>
      </c>
      <c r="J72">
        <f>RANK('1. Datos'!Q72,'1. Datos'!Q$2:Q$172,1)+(COUNTIF('1. Datos'!Q$2:Q$172,'1. Datos'!Q72)-1)/2</f>
        <v>38.5</v>
      </c>
      <c r="K72">
        <f>RANK('1. Datos'!R72,'1. Datos'!R$2:R$172,1)+(COUNTIF('1. Datos'!R$2:R$172,'1. Datos'!R72)-1)/2</f>
        <v>118.5</v>
      </c>
      <c r="L72">
        <f>RANK('1. Datos'!S72,'1. Datos'!S$2:S$172,1)+(COUNTIF('1. Datos'!S$2:S$172,'1. Datos'!S72)-1)/2</f>
        <v>124.5</v>
      </c>
    </row>
    <row r="73" spans="1:12" ht="15" customHeight="1" x14ac:dyDescent="0.45">
      <c r="A73">
        <f>RANK('1. Datos'!H73,'1. Datos'!H$2:H$172,1)+(COUNTIF('1. Datos'!H$2:H$172,'1. Datos'!H73)-1)/2</f>
        <v>125</v>
      </c>
      <c r="B73">
        <f>RANK('1. Datos'!I73,'1. Datos'!I$2:I$172,1)+(COUNTIF('1. Datos'!I$2:I$172,'1. Datos'!I73)-1)/2</f>
        <v>138</v>
      </c>
      <c r="C73">
        <f>RANK('1. Datos'!J73,'1. Datos'!J$2:J$172,1)+(COUNTIF('1. Datos'!J$2:J$172,'1. Datos'!J73)-1)/2</f>
        <v>10.5</v>
      </c>
      <c r="D73">
        <f>RANK('1. Datos'!K73,'1. Datos'!K$2:K$172,1)+(COUNTIF('1. Datos'!K$2:K$172,'1. Datos'!K73)-1)/2</f>
        <v>92.5</v>
      </c>
      <c r="E73">
        <f>RANK('1. Datos'!L73,'1. Datos'!L$2:L$172,1)+(COUNTIF('1. Datos'!L$2:L$172,'1. Datos'!L73)-1)/2</f>
        <v>10.5</v>
      </c>
      <c r="F73">
        <f>RANK('1. Datos'!M73,'1. Datos'!M$2:M$172,1)+(COUNTIF('1. Datos'!M$2:M$172,'1. Datos'!M73)-1)/2</f>
        <v>139.5</v>
      </c>
      <c r="G73">
        <f>RANK('1. Datos'!N73,'1. Datos'!N$2:N$172,1)+(COUNTIF('1. Datos'!N$2:N$172,'1. Datos'!N73)-1)/2</f>
        <v>127</v>
      </c>
      <c r="H73">
        <f>RANK('1. Datos'!O73,'1. Datos'!O$2:O$172,1)+(COUNTIF('1. Datos'!O$2:O$172,'1. Datos'!O73)-1)/2</f>
        <v>49</v>
      </c>
      <c r="I73">
        <f>RANK('1. Datos'!P73,'1. Datos'!P$2:P$172,1)+(COUNTIF('1. Datos'!P$2:P$172,'1. Datos'!P73)-1)/2</f>
        <v>41.5</v>
      </c>
      <c r="J73">
        <f>RANK('1. Datos'!Q73,'1. Datos'!Q$2:Q$172,1)+(COUNTIF('1. Datos'!Q$2:Q$172,'1. Datos'!Q73)-1)/2</f>
        <v>38.5</v>
      </c>
      <c r="K73">
        <f>RANK('1. Datos'!R73,'1. Datos'!R$2:R$172,1)+(COUNTIF('1. Datos'!R$2:R$172,'1. Datos'!R73)-1)/2</f>
        <v>33.5</v>
      </c>
      <c r="L73">
        <f>RANK('1. Datos'!S73,'1. Datos'!S$2:S$172,1)+(COUNTIF('1. Datos'!S$2:S$172,'1. Datos'!S73)-1)/2</f>
        <v>14</v>
      </c>
    </row>
    <row r="74" spans="1:12" ht="15" customHeight="1" x14ac:dyDescent="0.45">
      <c r="A74">
        <f>RANK('1. Datos'!H74,'1. Datos'!H$2:H$172,1)+(COUNTIF('1. Datos'!H$2:H$172,'1. Datos'!H74)-1)/2</f>
        <v>41.5</v>
      </c>
      <c r="B74">
        <f>RANK('1. Datos'!I74,'1. Datos'!I$2:I$172,1)+(COUNTIF('1. Datos'!I$2:I$172,'1. Datos'!I74)-1)/2</f>
        <v>138</v>
      </c>
      <c r="C74">
        <f>RANK('1. Datos'!J74,'1. Datos'!J$2:J$172,1)+(COUNTIF('1. Datos'!J$2:J$172,'1. Datos'!J74)-1)/2</f>
        <v>62</v>
      </c>
      <c r="D74">
        <f>RANK('1. Datos'!K74,'1. Datos'!K$2:K$172,1)+(COUNTIF('1. Datos'!K$2:K$172,'1. Datos'!K74)-1)/2</f>
        <v>39</v>
      </c>
      <c r="E74">
        <f>RANK('1. Datos'!L74,'1. Datos'!L$2:L$172,1)+(COUNTIF('1. Datos'!L$2:L$172,'1. Datos'!L74)-1)/2</f>
        <v>55.5</v>
      </c>
      <c r="F74">
        <f>RANK('1. Datos'!M74,'1. Datos'!M$2:M$172,1)+(COUNTIF('1. Datos'!M$2:M$172,'1. Datos'!M74)-1)/2</f>
        <v>139.5</v>
      </c>
      <c r="G74">
        <f>RANK('1. Datos'!N74,'1. Datos'!N$2:N$172,1)+(COUNTIF('1. Datos'!N$2:N$172,'1. Datos'!N74)-1)/2</f>
        <v>16</v>
      </c>
      <c r="H74">
        <f>RANK('1. Datos'!O74,'1. Datos'!O$2:O$172,1)+(COUNTIF('1. Datos'!O$2:O$172,'1. Datos'!O74)-1)/2</f>
        <v>49</v>
      </c>
      <c r="I74">
        <f>RANK('1. Datos'!P74,'1. Datos'!P$2:P$172,1)+(COUNTIF('1. Datos'!P$2:P$172,'1. Datos'!P74)-1)/2</f>
        <v>41.5</v>
      </c>
      <c r="J74">
        <f>RANK('1. Datos'!Q74,'1. Datos'!Q$2:Q$172,1)+(COUNTIF('1. Datos'!Q$2:Q$172,'1. Datos'!Q74)-1)/2</f>
        <v>123</v>
      </c>
      <c r="K74">
        <f>RANK('1. Datos'!R74,'1. Datos'!R$2:R$172,1)+(COUNTIF('1. Datos'!R$2:R$172,'1. Datos'!R74)-1)/2</f>
        <v>118.5</v>
      </c>
      <c r="L74">
        <f>RANK('1. Datos'!S74,'1. Datos'!S$2:S$172,1)+(COUNTIF('1. Datos'!S$2:S$172,'1. Datos'!S74)-1)/2</f>
        <v>124.5</v>
      </c>
    </row>
    <row r="75" spans="1:12" ht="15" customHeight="1" x14ac:dyDescent="0.45">
      <c r="A75">
        <f>RANK('1. Datos'!H75,'1. Datos'!H$2:H$172,1)+(COUNTIF('1. Datos'!H$2:H$172,'1. Datos'!H75)-1)/2</f>
        <v>41.5</v>
      </c>
      <c r="B75">
        <f>RANK('1. Datos'!I75,'1. Datos'!I$2:I$172,1)+(COUNTIF('1. Datos'!I$2:I$172,'1. Datos'!I75)-1)/2</f>
        <v>138</v>
      </c>
      <c r="C75">
        <f>RANK('1. Datos'!J75,'1. Datos'!J$2:J$172,1)+(COUNTIF('1. Datos'!J$2:J$172,'1. Datos'!J75)-1)/2</f>
        <v>137.5</v>
      </c>
      <c r="D75">
        <f>RANK('1. Datos'!K75,'1. Datos'!K$2:K$172,1)+(COUNTIF('1. Datos'!K$2:K$172,'1. Datos'!K75)-1)/2</f>
        <v>39</v>
      </c>
      <c r="E75">
        <f>RANK('1. Datos'!L75,'1. Datos'!L$2:L$172,1)+(COUNTIF('1. Datos'!L$2:L$172,'1. Datos'!L75)-1)/2</f>
        <v>132</v>
      </c>
      <c r="F75">
        <f>RANK('1. Datos'!M75,'1. Datos'!M$2:M$172,1)+(COUNTIF('1. Datos'!M$2:M$172,'1. Datos'!M75)-1)/2</f>
        <v>139.5</v>
      </c>
      <c r="G75">
        <f>RANK('1. Datos'!N75,'1. Datos'!N$2:N$172,1)+(COUNTIF('1. Datos'!N$2:N$172,'1. Datos'!N75)-1)/2</f>
        <v>127</v>
      </c>
      <c r="H75">
        <f>RANK('1. Datos'!O75,'1. Datos'!O$2:O$172,1)+(COUNTIF('1. Datos'!O$2:O$172,'1. Datos'!O75)-1)/2</f>
        <v>126</v>
      </c>
      <c r="I75">
        <f>RANK('1. Datos'!P75,'1. Datos'!P$2:P$172,1)+(COUNTIF('1. Datos'!P$2:P$172,'1. Datos'!P75)-1)/2</f>
        <v>122</v>
      </c>
      <c r="J75">
        <f>RANK('1. Datos'!Q75,'1. Datos'!Q$2:Q$172,1)+(COUNTIF('1. Datos'!Q$2:Q$172,'1. Datos'!Q75)-1)/2</f>
        <v>123</v>
      </c>
      <c r="K75">
        <f>RANK('1. Datos'!R75,'1. Datos'!R$2:R$172,1)+(COUNTIF('1. Datos'!R$2:R$172,'1. Datos'!R75)-1)/2</f>
        <v>33.5</v>
      </c>
      <c r="L75">
        <f>RANK('1. Datos'!S75,'1. Datos'!S$2:S$172,1)+(COUNTIF('1. Datos'!S$2:S$172,'1. Datos'!S75)-1)/2</f>
        <v>124.5</v>
      </c>
    </row>
    <row r="76" spans="1:12" ht="15" customHeight="1" x14ac:dyDescent="0.45">
      <c r="A76">
        <f>RANK('1. Datos'!H76,'1. Datos'!H$2:H$172,1)+(COUNTIF('1. Datos'!H$2:H$172,'1. Datos'!H76)-1)/2</f>
        <v>125</v>
      </c>
      <c r="B76">
        <f>RANK('1. Datos'!I76,'1. Datos'!I$2:I$172,1)+(COUNTIF('1. Datos'!I$2:I$172,'1. Datos'!I76)-1)/2</f>
        <v>138</v>
      </c>
      <c r="C76">
        <f>RANK('1. Datos'!J76,'1. Datos'!J$2:J$172,1)+(COUNTIF('1. Datos'!J$2:J$172,'1. Datos'!J76)-1)/2</f>
        <v>62</v>
      </c>
      <c r="D76">
        <f>RANK('1. Datos'!K76,'1. Datos'!K$2:K$172,1)+(COUNTIF('1. Datos'!K$2:K$172,'1. Datos'!K76)-1)/2</f>
        <v>11</v>
      </c>
      <c r="E76">
        <f>RANK('1. Datos'!L76,'1. Datos'!L$2:L$172,1)+(COUNTIF('1. Datos'!L$2:L$172,'1. Datos'!L76)-1)/2</f>
        <v>132</v>
      </c>
      <c r="F76">
        <f>RANK('1. Datos'!M76,'1. Datos'!M$2:M$172,1)+(COUNTIF('1. Datos'!M$2:M$172,'1. Datos'!M76)-1)/2</f>
        <v>57.5</v>
      </c>
      <c r="G76">
        <f>RANK('1. Datos'!N76,'1. Datos'!N$2:N$172,1)+(COUNTIF('1. Datos'!N$2:N$172,'1. Datos'!N76)-1)/2</f>
        <v>53</v>
      </c>
      <c r="H76">
        <f>RANK('1. Datos'!O76,'1. Datos'!O$2:O$172,1)+(COUNTIF('1. Datos'!O$2:O$172,'1. Datos'!O76)-1)/2</f>
        <v>49</v>
      </c>
      <c r="I76">
        <f>RANK('1. Datos'!P76,'1. Datos'!P$2:P$172,1)+(COUNTIF('1. Datos'!P$2:P$172,'1. Datos'!P76)-1)/2</f>
        <v>122</v>
      </c>
      <c r="J76">
        <f>RANK('1. Datos'!Q76,'1. Datos'!Q$2:Q$172,1)+(COUNTIF('1. Datos'!Q$2:Q$172,'1. Datos'!Q76)-1)/2</f>
        <v>38.5</v>
      </c>
      <c r="K76">
        <f>RANK('1. Datos'!R76,'1. Datos'!R$2:R$172,1)+(COUNTIF('1. Datos'!R$2:R$172,'1. Datos'!R76)-1)/2</f>
        <v>118.5</v>
      </c>
      <c r="L76">
        <f>RANK('1. Datos'!S76,'1. Datos'!S$2:S$172,1)+(COUNTIF('1. Datos'!S$2:S$172,'1. Datos'!S76)-1)/2</f>
        <v>124.5</v>
      </c>
    </row>
    <row r="77" spans="1:12" ht="15" customHeight="1" x14ac:dyDescent="0.45">
      <c r="A77">
        <f>RANK('1. Datos'!H77,'1. Datos'!H$2:H$172,1)+(COUNTIF('1. Datos'!H$2:H$172,'1. Datos'!H77)-1)/2</f>
        <v>125</v>
      </c>
      <c r="B77">
        <f>RANK('1. Datos'!I77,'1. Datos'!I$2:I$172,1)+(COUNTIF('1. Datos'!I$2:I$172,'1. Datos'!I77)-1)/2</f>
        <v>57.5</v>
      </c>
      <c r="C77">
        <f>RANK('1. Datos'!J77,'1. Datos'!J$2:J$172,1)+(COUNTIF('1. Datos'!J$2:J$172,'1. Datos'!J77)-1)/2</f>
        <v>137.5</v>
      </c>
      <c r="D77">
        <f>RANK('1. Datos'!K77,'1. Datos'!K$2:K$172,1)+(COUNTIF('1. Datos'!K$2:K$172,'1. Datos'!K77)-1)/2</f>
        <v>92.5</v>
      </c>
      <c r="E77">
        <f>RANK('1. Datos'!L77,'1. Datos'!L$2:L$172,1)+(COUNTIF('1. Datos'!L$2:L$172,'1. Datos'!L77)-1)/2</f>
        <v>55.5</v>
      </c>
      <c r="F77">
        <f>RANK('1. Datos'!M77,'1. Datos'!M$2:M$172,1)+(COUNTIF('1. Datos'!M$2:M$172,'1. Datos'!M77)-1)/2</f>
        <v>139.5</v>
      </c>
      <c r="G77">
        <f>RANK('1. Datos'!N77,'1. Datos'!N$2:N$172,1)+(COUNTIF('1. Datos'!N$2:N$172,'1. Datos'!N77)-1)/2</f>
        <v>127</v>
      </c>
      <c r="H77">
        <f>RANK('1. Datos'!O77,'1. Datos'!O$2:O$172,1)+(COUNTIF('1. Datos'!O$2:O$172,'1. Datos'!O77)-1)/2</f>
        <v>126</v>
      </c>
      <c r="I77">
        <f>RANK('1. Datos'!P77,'1. Datos'!P$2:P$172,1)+(COUNTIF('1. Datos'!P$2:P$172,'1. Datos'!P77)-1)/2</f>
        <v>41.5</v>
      </c>
      <c r="J77">
        <f>RANK('1. Datos'!Q77,'1. Datos'!Q$2:Q$172,1)+(COUNTIF('1. Datos'!Q$2:Q$172,'1. Datos'!Q77)-1)/2</f>
        <v>38.5</v>
      </c>
      <c r="K77">
        <f>RANK('1. Datos'!R77,'1. Datos'!R$2:R$172,1)+(COUNTIF('1. Datos'!R$2:R$172,'1. Datos'!R77)-1)/2</f>
        <v>118.5</v>
      </c>
      <c r="L77">
        <f>RANK('1. Datos'!S77,'1. Datos'!S$2:S$172,1)+(COUNTIF('1. Datos'!S$2:S$172,'1. Datos'!S77)-1)/2</f>
        <v>124.5</v>
      </c>
    </row>
    <row r="78" spans="1:12" ht="15" customHeight="1" x14ac:dyDescent="0.45">
      <c r="A78">
        <f>RANK('1. Datos'!H78,'1. Datos'!H$2:H$172,1)+(COUNTIF('1. Datos'!H$2:H$172,'1. Datos'!H78)-1)/2</f>
        <v>125</v>
      </c>
      <c r="B78">
        <f>RANK('1. Datos'!I78,'1. Datos'!I$2:I$172,1)+(COUNTIF('1. Datos'!I$2:I$172,'1. Datos'!I78)-1)/2</f>
        <v>57.5</v>
      </c>
      <c r="C78">
        <f>RANK('1. Datos'!J78,'1. Datos'!J$2:J$172,1)+(COUNTIF('1. Datos'!J$2:J$172,'1. Datos'!J78)-1)/2</f>
        <v>137.5</v>
      </c>
      <c r="D78">
        <f>RANK('1. Datos'!K78,'1. Datos'!K$2:K$172,1)+(COUNTIF('1. Datos'!K$2:K$172,'1. Datos'!K78)-1)/2</f>
        <v>149</v>
      </c>
      <c r="E78">
        <f>RANK('1. Datos'!L78,'1. Datos'!L$2:L$172,1)+(COUNTIF('1. Datos'!L$2:L$172,'1. Datos'!L78)-1)/2</f>
        <v>132</v>
      </c>
      <c r="F78">
        <f>RANK('1. Datos'!M78,'1. Datos'!M$2:M$172,1)+(COUNTIF('1. Datos'!M$2:M$172,'1. Datos'!M78)-1)/2</f>
        <v>57.5</v>
      </c>
      <c r="G78">
        <f>RANK('1. Datos'!N78,'1. Datos'!N$2:N$172,1)+(COUNTIF('1. Datos'!N$2:N$172,'1. Datos'!N78)-1)/2</f>
        <v>53</v>
      </c>
      <c r="H78">
        <f>RANK('1. Datos'!O78,'1. Datos'!O$2:O$172,1)+(COUNTIF('1. Datos'!O$2:O$172,'1. Datos'!O78)-1)/2</f>
        <v>126</v>
      </c>
      <c r="I78">
        <f>RANK('1. Datos'!P78,'1. Datos'!P$2:P$172,1)+(COUNTIF('1. Datos'!P$2:P$172,'1. Datos'!P78)-1)/2</f>
        <v>41.5</v>
      </c>
      <c r="J78">
        <f>RANK('1. Datos'!Q78,'1. Datos'!Q$2:Q$172,1)+(COUNTIF('1. Datos'!Q$2:Q$172,'1. Datos'!Q78)-1)/2</f>
        <v>123</v>
      </c>
      <c r="K78">
        <f>RANK('1. Datos'!R78,'1. Datos'!R$2:R$172,1)+(COUNTIF('1. Datos'!R$2:R$172,'1. Datos'!R78)-1)/2</f>
        <v>118.5</v>
      </c>
      <c r="L78">
        <f>RANK('1. Datos'!S78,'1. Datos'!S$2:S$172,1)+(COUNTIF('1. Datos'!S$2:S$172,'1. Datos'!S78)-1)/2</f>
        <v>124.5</v>
      </c>
    </row>
    <row r="79" spans="1:12" ht="15" customHeight="1" x14ac:dyDescent="0.45">
      <c r="A79">
        <f>RANK('1. Datos'!H79,'1. Datos'!H$2:H$172,1)+(COUNTIF('1. Datos'!H$2:H$172,'1. Datos'!H79)-1)/2</f>
        <v>2.5</v>
      </c>
      <c r="B79">
        <f>RANK('1. Datos'!I79,'1. Datos'!I$2:I$172,1)+(COUNTIF('1. Datos'!I$2:I$172,'1. Datos'!I79)-1)/2</f>
        <v>5.5</v>
      </c>
      <c r="C79">
        <f>RANK('1. Datos'!J79,'1. Datos'!J$2:J$172,1)+(COUNTIF('1. Datos'!J$2:J$172,'1. Datos'!J79)-1)/2</f>
        <v>137.5</v>
      </c>
      <c r="D79">
        <f>RANK('1. Datos'!K79,'1. Datos'!K$2:K$172,1)+(COUNTIF('1. Datos'!K$2:K$172,'1. Datos'!K79)-1)/2</f>
        <v>92.5</v>
      </c>
      <c r="E79">
        <f>RANK('1. Datos'!L79,'1. Datos'!L$2:L$172,1)+(COUNTIF('1. Datos'!L$2:L$172,'1. Datos'!L79)-1)/2</f>
        <v>132</v>
      </c>
      <c r="F79">
        <f>RANK('1. Datos'!M79,'1. Datos'!M$2:M$172,1)+(COUNTIF('1. Datos'!M$2:M$172,'1. Datos'!M79)-1)/2</f>
        <v>57.5</v>
      </c>
      <c r="G79">
        <f>RANK('1. Datos'!N79,'1. Datos'!N$2:N$172,1)+(COUNTIF('1. Datos'!N$2:N$172,'1. Datos'!N79)-1)/2</f>
        <v>16</v>
      </c>
      <c r="H79">
        <f>RANK('1. Datos'!O79,'1. Datos'!O$2:O$172,1)+(COUNTIF('1. Datos'!O$2:O$172,'1. Datos'!O79)-1)/2</f>
        <v>49</v>
      </c>
      <c r="I79">
        <f>RANK('1. Datos'!P79,'1. Datos'!P$2:P$172,1)+(COUNTIF('1. Datos'!P$2:P$172,'1. Datos'!P79)-1)/2</f>
        <v>41.5</v>
      </c>
      <c r="J79">
        <f>RANK('1. Datos'!Q79,'1. Datos'!Q$2:Q$172,1)+(COUNTIF('1. Datos'!Q$2:Q$172,'1. Datos'!Q79)-1)/2</f>
        <v>38.5</v>
      </c>
      <c r="K79">
        <f>RANK('1. Datos'!R79,'1. Datos'!R$2:R$172,1)+(COUNTIF('1. Datos'!R$2:R$172,'1. Datos'!R79)-1)/2</f>
        <v>118.5</v>
      </c>
      <c r="L79">
        <f>RANK('1. Datos'!S79,'1. Datos'!S$2:S$172,1)+(COUNTIF('1. Datos'!S$2:S$172,'1. Datos'!S79)-1)/2</f>
        <v>51.5</v>
      </c>
    </row>
    <row r="80" spans="1:12" ht="15" customHeight="1" x14ac:dyDescent="0.45">
      <c r="A80">
        <f>RANK('1. Datos'!H80,'1. Datos'!H$2:H$172,1)+(COUNTIF('1. Datos'!H$2:H$172,'1. Datos'!H80)-1)/2</f>
        <v>125</v>
      </c>
      <c r="B80">
        <f>RANK('1. Datos'!I80,'1. Datos'!I$2:I$172,1)+(COUNTIF('1. Datos'!I$2:I$172,'1. Datos'!I80)-1)/2</f>
        <v>138</v>
      </c>
      <c r="C80">
        <f>RANK('1. Datos'!J80,'1. Datos'!J$2:J$172,1)+(COUNTIF('1. Datos'!J$2:J$172,'1. Datos'!J80)-1)/2</f>
        <v>137.5</v>
      </c>
      <c r="D80">
        <f>RANK('1. Datos'!K80,'1. Datos'!K$2:K$172,1)+(COUNTIF('1. Datos'!K$2:K$172,'1. Datos'!K80)-1)/2</f>
        <v>149</v>
      </c>
      <c r="E80">
        <f>RANK('1. Datos'!L80,'1. Datos'!L$2:L$172,1)+(COUNTIF('1. Datos'!L$2:L$172,'1. Datos'!L80)-1)/2</f>
        <v>55.5</v>
      </c>
      <c r="F80">
        <f>RANK('1. Datos'!M80,'1. Datos'!M$2:M$172,1)+(COUNTIF('1. Datos'!M$2:M$172,'1. Datos'!M80)-1)/2</f>
        <v>57.5</v>
      </c>
      <c r="G80">
        <f>RANK('1. Datos'!N80,'1. Datos'!N$2:N$172,1)+(COUNTIF('1. Datos'!N$2:N$172,'1. Datos'!N80)-1)/2</f>
        <v>53</v>
      </c>
      <c r="H80">
        <f>RANK('1. Datos'!O80,'1. Datos'!O$2:O$172,1)+(COUNTIF('1. Datos'!O$2:O$172,'1. Datos'!O80)-1)/2</f>
        <v>49</v>
      </c>
      <c r="I80">
        <f>RANK('1. Datos'!P80,'1. Datos'!P$2:P$172,1)+(COUNTIF('1. Datos'!P$2:P$172,'1. Datos'!P80)-1)/2</f>
        <v>122</v>
      </c>
      <c r="J80">
        <f>RANK('1. Datos'!Q80,'1. Datos'!Q$2:Q$172,1)+(COUNTIF('1. Datos'!Q$2:Q$172,'1. Datos'!Q80)-1)/2</f>
        <v>123</v>
      </c>
      <c r="K80">
        <f>RANK('1. Datos'!R80,'1. Datos'!R$2:R$172,1)+(COUNTIF('1. Datos'!R$2:R$172,'1. Datos'!R80)-1)/2</f>
        <v>118.5</v>
      </c>
      <c r="L80">
        <f>RANK('1. Datos'!S80,'1. Datos'!S$2:S$172,1)+(COUNTIF('1. Datos'!S$2:S$172,'1. Datos'!S80)-1)/2</f>
        <v>124.5</v>
      </c>
    </row>
    <row r="81" spans="1:12" ht="15" customHeight="1" x14ac:dyDescent="0.45">
      <c r="A81">
        <f>RANK('1. Datos'!H81,'1. Datos'!H$2:H$172,1)+(COUNTIF('1. Datos'!H$2:H$172,'1. Datos'!H81)-1)/2</f>
        <v>41.5</v>
      </c>
      <c r="B81">
        <f>RANK('1. Datos'!I81,'1. Datos'!I$2:I$172,1)+(COUNTIF('1. Datos'!I$2:I$172,'1. Datos'!I81)-1)/2</f>
        <v>138</v>
      </c>
      <c r="C81">
        <f>RANK('1. Datos'!J81,'1. Datos'!J$2:J$172,1)+(COUNTIF('1. Datos'!J$2:J$172,'1. Datos'!J81)-1)/2</f>
        <v>62</v>
      </c>
      <c r="D81">
        <f>RANK('1. Datos'!K81,'1. Datos'!K$2:K$172,1)+(COUNTIF('1. Datos'!K$2:K$172,'1. Datos'!K81)-1)/2</f>
        <v>149</v>
      </c>
      <c r="E81">
        <f>RANK('1. Datos'!L81,'1. Datos'!L$2:L$172,1)+(COUNTIF('1. Datos'!L$2:L$172,'1. Datos'!L81)-1)/2</f>
        <v>10.5</v>
      </c>
      <c r="F81">
        <f>RANK('1. Datos'!M81,'1. Datos'!M$2:M$172,1)+(COUNTIF('1. Datos'!M$2:M$172,'1. Datos'!M81)-1)/2</f>
        <v>139.5</v>
      </c>
      <c r="G81">
        <f>RANK('1. Datos'!N81,'1. Datos'!N$2:N$172,1)+(COUNTIF('1. Datos'!N$2:N$172,'1. Datos'!N81)-1)/2</f>
        <v>127</v>
      </c>
      <c r="H81">
        <f>RANK('1. Datos'!O81,'1. Datos'!O$2:O$172,1)+(COUNTIF('1. Datos'!O$2:O$172,'1. Datos'!O81)-1)/2</f>
        <v>126</v>
      </c>
      <c r="I81">
        <f>RANK('1. Datos'!P81,'1. Datos'!P$2:P$172,1)+(COUNTIF('1. Datos'!P$2:P$172,'1. Datos'!P81)-1)/2</f>
        <v>122</v>
      </c>
      <c r="J81">
        <f>RANK('1. Datos'!Q81,'1. Datos'!Q$2:Q$172,1)+(COUNTIF('1. Datos'!Q$2:Q$172,'1. Datos'!Q81)-1)/2</f>
        <v>123</v>
      </c>
      <c r="K81">
        <f>RANK('1. Datos'!R81,'1. Datos'!R$2:R$172,1)+(COUNTIF('1. Datos'!R$2:R$172,'1. Datos'!R81)-1)/2</f>
        <v>118.5</v>
      </c>
      <c r="L81">
        <f>RANK('1. Datos'!S81,'1. Datos'!S$2:S$172,1)+(COUNTIF('1. Datos'!S$2:S$172,'1. Datos'!S81)-1)/2</f>
        <v>124.5</v>
      </c>
    </row>
    <row r="82" spans="1:12" ht="15" customHeight="1" x14ac:dyDescent="0.45">
      <c r="A82">
        <f>RANK('1. Datos'!H82,'1. Datos'!H$2:H$172,1)+(COUNTIF('1. Datos'!H$2:H$172,'1. Datos'!H82)-1)/2</f>
        <v>41.5</v>
      </c>
      <c r="B82">
        <f>RANK('1. Datos'!I82,'1. Datos'!I$2:I$172,1)+(COUNTIF('1. Datos'!I$2:I$172,'1. Datos'!I82)-1)/2</f>
        <v>57.5</v>
      </c>
      <c r="C82">
        <f>RANK('1. Datos'!J82,'1. Datos'!J$2:J$172,1)+(COUNTIF('1. Datos'!J$2:J$172,'1. Datos'!J82)-1)/2</f>
        <v>62</v>
      </c>
      <c r="D82">
        <f>RANK('1. Datos'!K82,'1. Datos'!K$2:K$172,1)+(COUNTIF('1. Datos'!K$2:K$172,'1. Datos'!K82)-1)/2</f>
        <v>92.5</v>
      </c>
      <c r="E82">
        <f>RANK('1. Datos'!L82,'1. Datos'!L$2:L$172,1)+(COUNTIF('1. Datos'!L$2:L$172,'1. Datos'!L82)-1)/2</f>
        <v>132</v>
      </c>
      <c r="F82">
        <f>RANK('1. Datos'!M82,'1. Datos'!M$2:M$172,1)+(COUNTIF('1. Datos'!M$2:M$172,'1. Datos'!M82)-1)/2</f>
        <v>139.5</v>
      </c>
      <c r="G82">
        <f>RANK('1. Datos'!N82,'1. Datos'!N$2:N$172,1)+(COUNTIF('1. Datos'!N$2:N$172,'1. Datos'!N82)-1)/2</f>
        <v>127</v>
      </c>
      <c r="H82">
        <f>RANK('1. Datos'!O82,'1. Datos'!O$2:O$172,1)+(COUNTIF('1. Datos'!O$2:O$172,'1. Datos'!O82)-1)/2</f>
        <v>49</v>
      </c>
      <c r="I82">
        <f>RANK('1. Datos'!P82,'1. Datos'!P$2:P$172,1)+(COUNTIF('1. Datos'!P$2:P$172,'1. Datos'!P82)-1)/2</f>
        <v>122</v>
      </c>
      <c r="J82">
        <f>RANK('1. Datos'!Q82,'1. Datos'!Q$2:Q$172,1)+(COUNTIF('1. Datos'!Q$2:Q$172,'1. Datos'!Q82)-1)/2</f>
        <v>123</v>
      </c>
      <c r="K82">
        <f>RANK('1. Datos'!R82,'1. Datos'!R$2:R$172,1)+(COUNTIF('1. Datos'!R$2:R$172,'1. Datos'!R82)-1)/2</f>
        <v>118.5</v>
      </c>
      <c r="L82">
        <f>RANK('1. Datos'!S82,'1. Datos'!S$2:S$172,1)+(COUNTIF('1. Datos'!S$2:S$172,'1. Datos'!S82)-1)/2</f>
        <v>124.5</v>
      </c>
    </row>
    <row r="83" spans="1:12" ht="15" customHeight="1" x14ac:dyDescent="0.45">
      <c r="A83">
        <f>RANK('1. Datos'!H83,'1. Datos'!H$2:H$172,1)+(COUNTIF('1. Datos'!H$2:H$172,'1. Datos'!H83)-1)/2</f>
        <v>125</v>
      </c>
      <c r="B83">
        <f>RANK('1. Datos'!I83,'1. Datos'!I$2:I$172,1)+(COUNTIF('1. Datos'!I$2:I$172,'1. Datos'!I83)-1)/2</f>
        <v>138</v>
      </c>
      <c r="C83">
        <f>RANK('1. Datos'!J83,'1. Datos'!J$2:J$172,1)+(COUNTIF('1. Datos'!J$2:J$172,'1. Datos'!J83)-1)/2</f>
        <v>137.5</v>
      </c>
      <c r="D83">
        <f>RANK('1. Datos'!K83,'1. Datos'!K$2:K$172,1)+(COUNTIF('1. Datos'!K$2:K$172,'1. Datos'!K83)-1)/2</f>
        <v>92.5</v>
      </c>
      <c r="E83">
        <f>RANK('1. Datos'!L83,'1. Datos'!L$2:L$172,1)+(COUNTIF('1. Datos'!L$2:L$172,'1. Datos'!L83)-1)/2</f>
        <v>132</v>
      </c>
      <c r="F83">
        <f>RANK('1. Datos'!M83,'1. Datos'!M$2:M$172,1)+(COUNTIF('1. Datos'!M$2:M$172,'1. Datos'!M83)-1)/2</f>
        <v>57.5</v>
      </c>
      <c r="G83">
        <f>RANK('1. Datos'!N83,'1. Datos'!N$2:N$172,1)+(COUNTIF('1. Datos'!N$2:N$172,'1. Datos'!N83)-1)/2</f>
        <v>53</v>
      </c>
      <c r="H83">
        <f>RANK('1. Datos'!O83,'1. Datos'!O$2:O$172,1)+(COUNTIF('1. Datos'!O$2:O$172,'1. Datos'!O83)-1)/2</f>
        <v>9.5</v>
      </c>
      <c r="I83">
        <f>RANK('1. Datos'!P83,'1. Datos'!P$2:P$172,1)+(COUNTIF('1. Datos'!P$2:P$172,'1. Datos'!P83)-1)/2</f>
        <v>41.5</v>
      </c>
      <c r="J83">
        <f>RANK('1. Datos'!Q83,'1. Datos'!Q$2:Q$172,1)+(COUNTIF('1. Datos'!Q$2:Q$172,'1. Datos'!Q83)-1)/2</f>
        <v>38.5</v>
      </c>
      <c r="K83">
        <f>RANK('1. Datos'!R83,'1. Datos'!R$2:R$172,1)+(COUNTIF('1. Datos'!R$2:R$172,'1. Datos'!R83)-1)/2</f>
        <v>33.5</v>
      </c>
      <c r="L83">
        <f>RANK('1. Datos'!S83,'1. Datos'!S$2:S$172,1)+(COUNTIF('1. Datos'!S$2:S$172,'1. Datos'!S83)-1)/2</f>
        <v>124.5</v>
      </c>
    </row>
    <row r="84" spans="1:12" ht="15" customHeight="1" x14ac:dyDescent="0.45">
      <c r="A84">
        <f>RANK('1. Datos'!H84,'1. Datos'!H$2:H$172,1)+(COUNTIF('1. Datos'!H$2:H$172,'1. Datos'!H84)-1)/2</f>
        <v>125</v>
      </c>
      <c r="B84">
        <f>RANK('1. Datos'!I84,'1. Datos'!I$2:I$172,1)+(COUNTIF('1. Datos'!I$2:I$172,'1. Datos'!I84)-1)/2</f>
        <v>5.5</v>
      </c>
      <c r="C84">
        <f>RANK('1. Datos'!J84,'1. Datos'!J$2:J$172,1)+(COUNTIF('1. Datos'!J$2:J$172,'1. Datos'!J84)-1)/2</f>
        <v>137.5</v>
      </c>
      <c r="D84">
        <f>RANK('1. Datos'!K84,'1. Datos'!K$2:K$172,1)+(COUNTIF('1. Datos'!K$2:K$172,'1. Datos'!K84)-1)/2</f>
        <v>11</v>
      </c>
      <c r="E84">
        <f>RANK('1. Datos'!L84,'1. Datos'!L$2:L$172,1)+(COUNTIF('1. Datos'!L$2:L$172,'1. Datos'!L84)-1)/2</f>
        <v>55.5</v>
      </c>
      <c r="F84">
        <f>RANK('1. Datos'!M84,'1. Datos'!M$2:M$172,1)+(COUNTIF('1. Datos'!M$2:M$172,'1. Datos'!M84)-1)/2</f>
        <v>57.5</v>
      </c>
      <c r="G84">
        <f>RANK('1. Datos'!N84,'1. Datos'!N$2:N$172,1)+(COUNTIF('1. Datos'!N$2:N$172,'1. Datos'!N84)-1)/2</f>
        <v>53</v>
      </c>
      <c r="H84">
        <f>RANK('1. Datos'!O84,'1. Datos'!O$2:O$172,1)+(COUNTIF('1. Datos'!O$2:O$172,'1. Datos'!O84)-1)/2</f>
        <v>49</v>
      </c>
      <c r="I84">
        <f>RANK('1. Datos'!P84,'1. Datos'!P$2:P$172,1)+(COUNTIF('1. Datos'!P$2:P$172,'1. Datos'!P84)-1)/2</f>
        <v>122</v>
      </c>
      <c r="J84">
        <f>RANK('1. Datos'!Q84,'1. Datos'!Q$2:Q$172,1)+(COUNTIF('1. Datos'!Q$2:Q$172,'1. Datos'!Q84)-1)/2</f>
        <v>123</v>
      </c>
      <c r="K84">
        <f>RANK('1. Datos'!R84,'1. Datos'!R$2:R$172,1)+(COUNTIF('1. Datos'!R$2:R$172,'1. Datos'!R84)-1)/2</f>
        <v>118.5</v>
      </c>
      <c r="L84">
        <f>RANK('1. Datos'!S84,'1. Datos'!S$2:S$172,1)+(COUNTIF('1. Datos'!S$2:S$172,'1. Datos'!S84)-1)/2</f>
        <v>14</v>
      </c>
    </row>
    <row r="85" spans="1:12" ht="15" customHeight="1" x14ac:dyDescent="0.45">
      <c r="A85">
        <f>RANK('1. Datos'!H85,'1. Datos'!H$2:H$172,1)+(COUNTIF('1. Datos'!H$2:H$172,'1. Datos'!H85)-1)/2</f>
        <v>125</v>
      </c>
      <c r="B85">
        <f>RANK('1. Datos'!I85,'1. Datos'!I$2:I$172,1)+(COUNTIF('1. Datos'!I$2:I$172,'1. Datos'!I85)-1)/2</f>
        <v>57.5</v>
      </c>
      <c r="C85">
        <f>RANK('1. Datos'!J85,'1. Datos'!J$2:J$172,1)+(COUNTIF('1. Datos'!J$2:J$172,'1. Datos'!J85)-1)/2</f>
        <v>137.5</v>
      </c>
      <c r="D85">
        <f>RANK('1. Datos'!K85,'1. Datos'!K$2:K$172,1)+(COUNTIF('1. Datos'!K$2:K$172,'1. Datos'!K85)-1)/2</f>
        <v>92.5</v>
      </c>
      <c r="E85">
        <f>RANK('1. Datos'!L85,'1. Datos'!L$2:L$172,1)+(COUNTIF('1. Datos'!L$2:L$172,'1. Datos'!L85)-1)/2</f>
        <v>132</v>
      </c>
      <c r="F85">
        <f>RANK('1. Datos'!M85,'1. Datos'!M$2:M$172,1)+(COUNTIF('1. Datos'!M$2:M$172,'1. Datos'!M85)-1)/2</f>
        <v>57.5</v>
      </c>
      <c r="G85">
        <f>RANK('1. Datos'!N85,'1. Datos'!N$2:N$172,1)+(COUNTIF('1. Datos'!N$2:N$172,'1. Datos'!N85)-1)/2</f>
        <v>53</v>
      </c>
      <c r="H85">
        <f>RANK('1. Datos'!O85,'1. Datos'!O$2:O$172,1)+(COUNTIF('1. Datos'!O$2:O$172,'1. Datos'!O85)-1)/2</f>
        <v>9.5</v>
      </c>
      <c r="I85">
        <f>RANK('1. Datos'!P85,'1. Datos'!P$2:P$172,1)+(COUNTIF('1. Datos'!P$2:P$172,'1. Datos'!P85)-1)/2</f>
        <v>41.5</v>
      </c>
      <c r="J85">
        <f>RANK('1. Datos'!Q85,'1. Datos'!Q$2:Q$172,1)+(COUNTIF('1. Datos'!Q$2:Q$172,'1. Datos'!Q85)-1)/2</f>
        <v>38.5</v>
      </c>
      <c r="K85">
        <f>RANK('1. Datos'!R85,'1. Datos'!R$2:R$172,1)+(COUNTIF('1. Datos'!R$2:R$172,'1. Datos'!R85)-1)/2</f>
        <v>33.5</v>
      </c>
      <c r="L85">
        <f>RANK('1. Datos'!S85,'1. Datos'!S$2:S$172,1)+(COUNTIF('1. Datos'!S$2:S$172,'1. Datos'!S85)-1)/2</f>
        <v>124.5</v>
      </c>
    </row>
    <row r="86" spans="1:12" ht="15" customHeight="1" x14ac:dyDescent="0.45">
      <c r="A86">
        <f>RANK('1. Datos'!H86,'1. Datos'!H$2:H$172,1)+(COUNTIF('1. Datos'!H$2:H$172,'1. Datos'!H86)-1)/2</f>
        <v>41.5</v>
      </c>
      <c r="B86">
        <f>RANK('1. Datos'!I86,'1. Datos'!I$2:I$172,1)+(COUNTIF('1. Datos'!I$2:I$172,'1. Datos'!I86)-1)/2</f>
        <v>138</v>
      </c>
      <c r="C86">
        <f>RANK('1. Datos'!J86,'1. Datos'!J$2:J$172,1)+(COUNTIF('1. Datos'!J$2:J$172,'1. Datos'!J86)-1)/2</f>
        <v>137.5</v>
      </c>
      <c r="D86">
        <f>RANK('1. Datos'!K86,'1. Datos'!K$2:K$172,1)+(COUNTIF('1. Datos'!K$2:K$172,'1. Datos'!K86)-1)/2</f>
        <v>92.5</v>
      </c>
      <c r="E86">
        <f>RANK('1. Datos'!L86,'1. Datos'!L$2:L$172,1)+(COUNTIF('1. Datos'!L$2:L$172,'1. Datos'!L86)-1)/2</f>
        <v>132</v>
      </c>
      <c r="F86">
        <f>RANK('1. Datos'!M86,'1. Datos'!M$2:M$172,1)+(COUNTIF('1. Datos'!M$2:M$172,'1. Datos'!M86)-1)/2</f>
        <v>57.5</v>
      </c>
      <c r="G86">
        <f>RANK('1. Datos'!N86,'1. Datos'!N$2:N$172,1)+(COUNTIF('1. Datos'!N$2:N$172,'1. Datos'!N86)-1)/2</f>
        <v>127</v>
      </c>
      <c r="H86">
        <f>RANK('1. Datos'!O86,'1. Datos'!O$2:O$172,1)+(COUNTIF('1. Datos'!O$2:O$172,'1. Datos'!O86)-1)/2</f>
        <v>49</v>
      </c>
      <c r="I86">
        <f>RANK('1. Datos'!P86,'1. Datos'!P$2:P$172,1)+(COUNTIF('1. Datos'!P$2:P$172,'1. Datos'!P86)-1)/2</f>
        <v>41.5</v>
      </c>
      <c r="J86">
        <f>RANK('1. Datos'!Q86,'1. Datos'!Q$2:Q$172,1)+(COUNTIF('1. Datos'!Q$2:Q$172,'1. Datos'!Q86)-1)/2</f>
        <v>123</v>
      </c>
      <c r="K86">
        <f>RANK('1. Datos'!R86,'1. Datos'!R$2:R$172,1)+(COUNTIF('1. Datos'!R$2:R$172,'1. Datos'!R86)-1)/2</f>
        <v>33.5</v>
      </c>
      <c r="L86">
        <f>RANK('1. Datos'!S86,'1. Datos'!S$2:S$172,1)+(COUNTIF('1. Datos'!S$2:S$172,'1. Datos'!S86)-1)/2</f>
        <v>124.5</v>
      </c>
    </row>
    <row r="87" spans="1:12" ht="15" customHeight="1" x14ac:dyDescent="0.45">
      <c r="A87">
        <f>RANK('1. Datos'!H87,'1. Datos'!H$2:H$172,1)+(COUNTIF('1. Datos'!H$2:H$172,'1. Datos'!H87)-1)/2</f>
        <v>125</v>
      </c>
      <c r="B87">
        <f>RANK('1. Datos'!I87,'1. Datos'!I$2:I$172,1)+(COUNTIF('1. Datos'!I$2:I$172,'1. Datos'!I87)-1)/2</f>
        <v>57.5</v>
      </c>
      <c r="C87">
        <f>RANK('1. Datos'!J87,'1. Datos'!J$2:J$172,1)+(COUNTIF('1. Datos'!J$2:J$172,'1. Datos'!J87)-1)/2</f>
        <v>10.5</v>
      </c>
      <c r="D87">
        <f>RANK('1. Datos'!K87,'1. Datos'!K$2:K$172,1)+(COUNTIF('1. Datos'!K$2:K$172,'1. Datos'!K87)-1)/2</f>
        <v>92.5</v>
      </c>
      <c r="E87">
        <f>RANK('1. Datos'!L87,'1. Datos'!L$2:L$172,1)+(COUNTIF('1. Datos'!L$2:L$172,'1. Datos'!L87)-1)/2</f>
        <v>10.5</v>
      </c>
      <c r="F87">
        <f>RANK('1. Datos'!M87,'1. Datos'!M$2:M$172,1)+(COUNTIF('1. Datos'!M$2:M$172,'1. Datos'!M87)-1)/2</f>
        <v>139.5</v>
      </c>
      <c r="G87">
        <f>RANK('1. Datos'!N87,'1. Datos'!N$2:N$172,1)+(COUNTIF('1. Datos'!N$2:N$172,'1. Datos'!N87)-1)/2</f>
        <v>127</v>
      </c>
      <c r="H87">
        <f>RANK('1. Datos'!O87,'1. Datos'!O$2:O$172,1)+(COUNTIF('1. Datos'!O$2:O$172,'1. Datos'!O87)-1)/2</f>
        <v>126</v>
      </c>
      <c r="I87">
        <f>RANK('1. Datos'!P87,'1. Datos'!P$2:P$172,1)+(COUNTIF('1. Datos'!P$2:P$172,'1. Datos'!P87)-1)/2</f>
        <v>41.5</v>
      </c>
      <c r="J87">
        <f>RANK('1. Datos'!Q87,'1. Datos'!Q$2:Q$172,1)+(COUNTIF('1. Datos'!Q$2:Q$172,'1. Datos'!Q87)-1)/2</f>
        <v>38.5</v>
      </c>
      <c r="K87">
        <f>RANK('1. Datos'!R87,'1. Datos'!R$2:R$172,1)+(COUNTIF('1. Datos'!R$2:R$172,'1. Datos'!R87)-1)/2</f>
        <v>33.5</v>
      </c>
      <c r="L87">
        <f>RANK('1. Datos'!S87,'1. Datos'!S$2:S$172,1)+(COUNTIF('1. Datos'!S$2:S$172,'1. Datos'!S87)-1)/2</f>
        <v>51.5</v>
      </c>
    </row>
    <row r="88" spans="1:12" ht="15" customHeight="1" x14ac:dyDescent="0.45">
      <c r="A88">
        <f>RANK('1. Datos'!H88,'1. Datos'!H$2:H$172,1)+(COUNTIF('1. Datos'!H$2:H$172,'1. Datos'!H88)-1)/2</f>
        <v>41.5</v>
      </c>
      <c r="B88">
        <f>RANK('1. Datos'!I88,'1. Datos'!I$2:I$172,1)+(COUNTIF('1. Datos'!I$2:I$172,'1. Datos'!I88)-1)/2</f>
        <v>5.5</v>
      </c>
      <c r="C88">
        <f>RANK('1. Datos'!J88,'1. Datos'!J$2:J$172,1)+(COUNTIF('1. Datos'!J$2:J$172,'1. Datos'!J88)-1)/2</f>
        <v>62</v>
      </c>
      <c r="D88">
        <f>RANK('1. Datos'!K88,'1. Datos'!K$2:K$172,1)+(COUNTIF('1. Datos'!K$2:K$172,'1. Datos'!K88)-1)/2</f>
        <v>92.5</v>
      </c>
      <c r="E88">
        <f>RANK('1. Datos'!L88,'1. Datos'!L$2:L$172,1)+(COUNTIF('1. Datos'!L$2:L$172,'1. Datos'!L88)-1)/2</f>
        <v>132</v>
      </c>
      <c r="F88">
        <f>RANK('1. Datos'!M88,'1. Datos'!M$2:M$172,1)+(COUNTIF('1. Datos'!M$2:M$172,'1. Datos'!M88)-1)/2</f>
        <v>139.5</v>
      </c>
      <c r="G88">
        <f>RANK('1. Datos'!N88,'1. Datos'!N$2:N$172,1)+(COUNTIF('1. Datos'!N$2:N$172,'1. Datos'!N88)-1)/2</f>
        <v>53</v>
      </c>
      <c r="H88">
        <f>RANK('1. Datos'!O88,'1. Datos'!O$2:O$172,1)+(COUNTIF('1. Datos'!O$2:O$172,'1. Datos'!O88)-1)/2</f>
        <v>126</v>
      </c>
      <c r="I88">
        <f>RANK('1. Datos'!P88,'1. Datos'!P$2:P$172,1)+(COUNTIF('1. Datos'!P$2:P$172,'1. Datos'!P88)-1)/2</f>
        <v>122</v>
      </c>
      <c r="J88">
        <f>RANK('1. Datos'!Q88,'1. Datos'!Q$2:Q$172,1)+(COUNTIF('1. Datos'!Q$2:Q$172,'1. Datos'!Q88)-1)/2</f>
        <v>123</v>
      </c>
      <c r="K88">
        <f>RANK('1. Datos'!R88,'1. Datos'!R$2:R$172,1)+(COUNTIF('1. Datos'!R$2:R$172,'1. Datos'!R88)-1)/2</f>
        <v>118.5</v>
      </c>
      <c r="L88">
        <f>RANK('1. Datos'!S88,'1. Datos'!S$2:S$172,1)+(COUNTIF('1. Datos'!S$2:S$172,'1. Datos'!S88)-1)/2</f>
        <v>14</v>
      </c>
    </row>
    <row r="89" spans="1:12" ht="15" customHeight="1" x14ac:dyDescent="0.45">
      <c r="A89">
        <f>RANK('1. Datos'!H89,'1. Datos'!H$2:H$172,1)+(COUNTIF('1. Datos'!H$2:H$172,'1. Datos'!H89)-1)/2</f>
        <v>125</v>
      </c>
      <c r="B89">
        <f>RANK('1. Datos'!I89,'1. Datos'!I$2:I$172,1)+(COUNTIF('1. Datos'!I$2:I$172,'1. Datos'!I89)-1)/2</f>
        <v>138</v>
      </c>
      <c r="C89">
        <f>RANK('1. Datos'!J89,'1. Datos'!J$2:J$172,1)+(COUNTIF('1. Datos'!J$2:J$172,'1. Datos'!J89)-1)/2</f>
        <v>62</v>
      </c>
      <c r="D89">
        <f>RANK('1. Datos'!K89,'1. Datos'!K$2:K$172,1)+(COUNTIF('1. Datos'!K$2:K$172,'1. Datos'!K89)-1)/2</f>
        <v>11</v>
      </c>
      <c r="E89">
        <f>RANK('1. Datos'!L89,'1. Datos'!L$2:L$172,1)+(COUNTIF('1. Datos'!L$2:L$172,'1. Datos'!L89)-1)/2</f>
        <v>55.5</v>
      </c>
      <c r="F89">
        <f>RANK('1. Datos'!M89,'1. Datos'!M$2:M$172,1)+(COUNTIF('1. Datos'!M$2:M$172,'1. Datos'!M89)-1)/2</f>
        <v>139.5</v>
      </c>
      <c r="G89">
        <f>RANK('1. Datos'!N89,'1. Datos'!N$2:N$172,1)+(COUNTIF('1. Datos'!N$2:N$172,'1. Datos'!N89)-1)/2</f>
        <v>127</v>
      </c>
      <c r="H89">
        <f>RANK('1. Datos'!O89,'1. Datos'!O$2:O$172,1)+(COUNTIF('1. Datos'!O$2:O$172,'1. Datos'!O89)-1)/2</f>
        <v>49</v>
      </c>
      <c r="I89">
        <f>RANK('1. Datos'!P89,'1. Datos'!P$2:P$172,1)+(COUNTIF('1. Datos'!P$2:P$172,'1. Datos'!P89)-1)/2</f>
        <v>122</v>
      </c>
      <c r="J89">
        <f>RANK('1. Datos'!Q89,'1. Datos'!Q$2:Q$172,1)+(COUNTIF('1. Datos'!Q$2:Q$172,'1. Datos'!Q89)-1)/2</f>
        <v>123</v>
      </c>
      <c r="K89">
        <f>RANK('1. Datos'!R89,'1. Datos'!R$2:R$172,1)+(COUNTIF('1. Datos'!R$2:R$172,'1. Datos'!R89)-1)/2</f>
        <v>33.5</v>
      </c>
      <c r="L89">
        <f>RANK('1. Datos'!S89,'1. Datos'!S$2:S$172,1)+(COUNTIF('1. Datos'!S$2:S$172,'1. Datos'!S89)-1)/2</f>
        <v>14</v>
      </c>
    </row>
    <row r="90" spans="1:12" ht="15" customHeight="1" x14ac:dyDescent="0.45">
      <c r="A90">
        <f>RANK('1. Datos'!H90,'1. Datos'!H$2:H$172,1)+(COUNTIF('1. Datos'!H$2:H$172,'1. Datos'!H90)-1)/2</f>
        <v>2.5</v>
      </c>
      <c r="B90">
        <f>RANK('1. Datos'!I90,'1. Datos'!I$2:I$172,1)+(COUNTIF('1. Datos'!I$2:I$172,'1. Datos'!I90)-1)/2</f>
        <v>57.5</v>
      </c>
      <c r="C90">
        <f>RANK('1. Datos'!J90,'1. Datos'!J$2:J$172,1)+(COUNTIF('1. Datos'!J$2:J$172,'1. Datos'!J90)-1)/2</f>
        <v>62</v>
      </c>
      <c r="D90">
        <f>RANK('1. Datos'!K90,'1. Datos'!K$2:K$172,1)+(COUNTIF('1. Datos'!K$2:K$172,'1. Datos'!K90)-1)/2</f>
        <v>92.5</v>
      </c>
      <c r="E90">
        <f>RANK('1. Datos'!L90,'1. Datos'!L$2:L$172,1)+(COUNTIF('1. Datos'!L$2:L$172,'1. Datos'!L90)-1)/2</f>
        <v>132</v>
      </c>
      <c r="F90">
        <f>RANK('1. Datos'!M90,'1. Datos'!M$2:M$172,1)+(COUNTIF('1. Datos'!M$2:M$172,'1. Datos'!M90)-1)/2</f>
        <v>139.5</v>
      </c>
      <c r="G90">
        <f>RANK('1. Datos'!N90,'1. Datos'!N$2:N$172,1)+(COUNTIF('1. Datos'!N$2:N$172,'1. Datos'!N90)-1)/2</f>
        <v>16</v>
      </c>
      <c r="H90">
        <f>RANK('1. Datos'!O90,'1. Datos'!O$2:O$172,1)+(COUNTIF('1. Datos'!O$2:O$172,'1. Datos'!O90)-1)/2</f>
        <v>126</v>
      </c>
      <c r="I90">
        <f>RANK('1. Datos'!P90,'1. Datos'!P$2:P$172,1)+(COUNTIF('1. Datos'!P$2:P$172,'1. Datos'!P90)-1)/2</f>
        <v>41.5</v>
      </c>
      <c r="J90">
        <f>RANK('1. Datos'!Q90,'1. Datos'!Q$2:Q$172,1)+(COUNTIF('1. Datos'!Q$2:Q$172,'1. Datos'!Q90)-1)/2</f>
        <v>123</v>
      </c>
      <c r="K90">
        <f>RANK('1. Datos'!R90,'1. Datos'!R$2:R$172,1)+(COUNTIF('1. Datos'!R$2:R$172,'1. Datos'!R90)-1)/2</f>
        <v>33.5</v>
      </c>
      <c r="L90">
        <f>RANK('1. Datos'!S90,'1. Datos'!S$2:S$172,1)+(COUNTIF('1. Datos'!S$2:S$172,'1. Datos'!S90)-1)/2</f>
        <v>124.5</v>
      </c>
    </row>
    <row r="91" spans="1:12" ht="15" customHeight="1" x14ac:dyDescent="0.45">
      <c r="A91">
        <f>RANK('1. Datos'!H91,'1. Datos'!H$2:H$172,1)+(COUNTIF('1. Datos'!H$2:H$172,'1. Datos'!H91)-1)/2</f>
        <v>41.5</v>
      </c>
      <c r="B91">
        <f>RANK('1. Datos'!I91,'1. Datos'!I$2:I$172,1)+(COUNTIF('1. Datos'!I$2:I$172,'1. Datos'!I91)-1)/2</f>
        <v>57.5</v>
      </c>
      <c r="C91">
        <f>RANK('1. Datos'!J91,'1. Datos'!J$2:J$172,1)+(COUNTIF('1. Datos'!J$2:J$172,'1. Datos'!J91)-1)/2</f>
        <v>62</v>
      </c>
      <c r="D91">
        <f>RANK('1. Datos'!K91,'1. Datos'!K$2:K$172,1)+(COUNTIF('1. Datos'!K$2:K$172,'1. Datos'!K91)-1)/2</f>
        <v>39</v>
      </c>
      <c r="E91">
        <f>RANK('1. Datos'!L91,'1. Datos'!L$2:L$172,1)+(COUNTIF('1. Datos'!L$2:L$172,'1. Datos'!L91)-1)/2</f>
        <v>132</v>
      </c>
      <c r="F91">
        <f>RANK('1. Datos'!M91,'1. Datos'!M$2:M$172,1)+(COUNTIF('1. Datos'!M$2:M$172,'1. Datos'!M91)-1)/2</f>
        <v>139.5</v>
      </c>
      <c r="G91">
        <f>RANK('1. Datos'!N91,'1. Datos'!N$2:N$172,1)+(COUNTIF('1. Datos'!N$2:N$172,'1. Datos'!N91)-1)/2</f>
        <v>127</v>
      </c>
      <c r="H91">
        <f>RANK('1. Datos'!O91,'1. Datos'!O$2:O$172,1)+(COUNTIF('1. Datos'!O$2:O$172,'1. Datos'!O91)-1)/2</f>
        <v>126</v>
      </c>
      <c r="I91">
        <f>RANK('1. Datos'!P91,'1. Datos'!P$2:P$172,1)+(COUNTIF('1. Datos'!P$2:P$172,'1. Datos'!P91)-1)/2</f>
        <v>122</v>
      </c>
      <c r="J91">
        <f>RANK('1. Datos'!Q91,'1. Datos'!Q$2:Q$172,1)+(COUNTIF('1. Datos'!Q$2:Q$172,'1. Datos'!Q91)-1)/2</f>
        <v>123</v>
      </c>
      <c r="K91">
        <f>RANK('1. Datos'!R91,'1. Datos'!R$2:R$172,1)+(COUNTIF('1. Datos'!R$2:R$172,'1. Datos'!R91)-1)/2</f>
        <v>118.5</v>
      </c>
      <c r="L91">
        <f>RANK('1. Datos'!S91,'1. Datos'!S$2:S$172,1)+(COUNTIF('1. Datos'!S$2:S$172,'1. Datos'!S91)-1)/2</f>
        <v>14</v>
      </c>
    </row>
    <row r="92" spans="1:12" ht="15" customHeight="1" x14ac:dyDescent="0.45">
      <c r="A92">
        <f>RANK('1. Datos'!H92,'1. Datos'!H$2:H$172,1)+(COUNTIF('1. Datos'!H$2:H$172,'1. Datos'!H92)-1)/2</f>
        <v>41.5</v>
      </c>
      <c r="B92">
        <f>RANK('1. Datos'!I92,'1. Datos'!I$2:I$172,1)+(COUNTIF('1. Datos'!I$2:I$172,'1. Datos'!I92)-1)/2</f>
        <v>138</v>
      </c>
      <c r="C92">
        <f>RANK('1. Datos'!J92,'1. Datos'!J$2:J$172,1)+(COUNTIF('1. Datos'!J$2:J$172,'1. Datos'!J92)-1)/2</f>
        <v>62</v>
      </c>
      <c r="D92">
        <f>RANK('1. Datos'!K92,'1. Datos'!K$2:K$172,1)+(COUNTIF('1. Datos'!K$2:K$172,'1. Datos'!K92)-1)/2</f>
        <v>92.5</v>
      </c>
      <c r="E92">
        <f>RANK('1. Datos'!L92,'1. Datos'!L$2:L$172,1)+(COUNTIF('1. Datos'!L$2:L$172,'1. Datos'!L92)-1)/2</f>
        <v>55.5</v>
      </c>
      <c r="F92">
        <f>RANK('1. Datos'!M92,'1. Datos'!M$2:M$172,1)+(COUNTIF('1. Datos'!M$2:M$172,'1. Datos'!M92)-1)/2</f>
        <v>57.5</v>
      </c>
      <c r="G92">
        <f>RANK('1. Datos'!N92,'1. Datos'!N$2:N$172,1)+(COUNTIF('1. Datos'!N$2:N$172,'1. Datos'!N92)-1)/2</f>
        <v>127</v>
      </c>
      <c r="H92">
        <f>RANK('1. Datos'!O92,'1. Datos'!O$2:O$172,1)+(COUNTIF('1. Datos'!O$2:O$172,'1. Datos'!O92)-1)/2</f>
        <v>49</v>
      </c>
      <c r="I92">
        <f>RANK('1. Datos'!P92,'1. Datos'!P$2:P$172,1)+(COUNTIF('1. Datos'!P$2:P$172,'1. Datos'!P92)-1)/2</f>
        <v>122</v>
      </c>
      <c r="J92">
        <f>RANK('1. Datos'!Q92,'1. Datos'!Q$2:Q$172,1)+(COUNTIF('1. Datos'!Q$2:Q$172,'1. Datos'!Q92)-1)/2</f>
        <v>123</v>
      </c>
      <c r="K92">
        <f>RANK('1. Datos'!R92,'1. Datos'!R$2:R$172,1)+(COUNTIF('1. Datos'!R$2:R$172,'1. Datos'!R92)-1)/2</f>
        <v>33.5</v>
      </c>
      <c r="L92">
        <f>RANK('1. Datos'!S92,'1. Datos'!S$2:S$172,1)+(COUNTIF('1. Datos'!S$2:S$172,'1. Datos'!S92)-1)/2</f>
        <v>124.5</v>
      </c>
    </row>
    <row r="93" spans="1:12" ht="15" customHeight="1" x14ac:dyDescent="0.45">
      <c r="A93">
        <f>RANK('1. Datos'!H93,'1. Datos'!H$2:H$172,1)+(COUNTIF('1. Datos'!H$2:H$172,'1. Datos'!H93)-1)/2</f>
        <v>41.5</v>
      </c>
      <c r="B93">
        <f>RANK('1. Datos'!I93,'1. Datos'!I$2:I$172,1)+(COUNTIF('1. Datos'!I$2:I$172,'1. Datos'!I93)-1)/2</f>
        <v>57.5</v>
      </c>
      <c r="C93">
        <f>RANK('1. Datos'!J93,'1. Datos'!J$2:J$172,1)+(COUNTIF('1. Datos'!J$2:J$172,'1. Datos'!J93)-1)/2</f>
        <v>137.5</v>
      </c>
      <c r="D93">
        <f>RANK('1. Datos'!K93,'1. Datos'!K$2:K$172,1)+(COUNTIF('1. Datos'!K$2:K$172,'1. Datos'!K93)-1)/2</f>
        <v>39</v>
      </c>
      <c r="E93">
        <f>RANK('1. Datos'!L93,'1. Datos'!L$2:L$172,1)+(COUNTIF('1. Datos'!L$2:L$172,'1. Datos'!L93)-1)/2</f>
        <v>55.5</v>
      </c>
      <c r="F93">
        <f>RANK('1. Datos'!M93,'1. Datos'!M$2:M$172,1)+(COUNTIF('1. Datos'!M$2:M$172,'1. Datos'!M93)-1)/2</f>
        <v>57.5</v>
      </c>
      <c r="G93">
        <f>RANK('1. Datos'!N93,'1. Datos'!N$2:N$172,1)+(COUNTIF('1. Datos'!N$2:N$172,'1. Datos'!N93)-1)/2</f>
        <v>53</v>
      </c>
      <c r="H93">
        <f>RANK('1. Datos'!O93,'1. Datos'!O$2:O$172,1)+(COUNTIF('1. Datos'!O$2:O$172,'1. Datos'!O93)-1)/2</f>
        <v>49</v>
      </c>
      <c r="I93">
        <f>RANK('1. Datos'!P93,'1. Datos'!P$2:P$172,1)+(COUNTIF('1. Datos'!P$2:P$172,'1. Datos'!P93)-1)/2</f>
        <v>41.5</v>
      </c>
      <c r="J93">
        <f>RANK('1. Datos'!Q93,'1. Datos'!Q$2:Q$172,1)+(COUNTIF('1. Datos'!Q$2:Q$172,'1. Datos'!Q93)-1)/2</f>
        <v>38.5</v>
      </c>
      <c r="K93">
        <f>RANK('1. Datos'!R93,'1. Datos'!R$2:R$172,1)+(COUNTIF('1. Datos'!R$2:R$172,'1. Datos'!R93)-1)/2</f>
        <v>118.5</v>
      </c>
      <c r="L93">
        <f>RANK('1. Datos'!S93,'1. Datos'!S$2:S$172,1)+(COUNTIF('1. Datos'!S$2:S$172,'1. Datos'!S93)-1)/2</f>
        <v>51.5</v>
      </c>
    </row>
    <row r="94" spans="1:12" ht="15" customHeight="1" x14ac:dyDescent="0.45">
      <c r="A94">
        <f>RANK('1. Datos'!H94,'1. Datos'!H$2:H$172,1)+(COUNTIF('1. Datos'!H$2:H$172,'1. Datos'!H94)-1)/2</f>
        <v>125</v>
      </c>
      <c r="B94">
        <f>RANK('1. Datos'!I94,'1. Datos'!I$2:I$172,1)+(COUNTIF('1. Datos'!I$2:I$172,'1. Datos'!I94)-1)/2</f>
        <v>138</v>
      </c>
      <c r="C94">
        <f>RANK('1. Datos'!J94,'1. Datos'!J$2:J$172,1)+(COUNTIF('1. Datos'!J$2:J$172,'1. Datos'!J94)-1)/2</f>
        <v>10.5</v>
      </c>
      <c r="D94">
        <f>RANK('1. Datos'!K94,'1. Datos'!K$2:K$172,1)+(COUNTIF('1. Datos'!K$2:K$172,'1. Datos'!K94)-1)/2</f>
        <v>39</v>
      </c>
      <c r="E94">
        <f>RANK('1. Datos'!L94,'1. Datos'!L$2:L$172,1)+(COUNTIF('1. Datos'!L$2:L$172,'1. Datos'!L94)-1)/2</f>
        <v>132</v>
      </c>
      <c r="F94">
        <f>RANK('1. Datos'!M94,'1. Datos'!M$2:M$172,1)+(COUNTIF('1. Datos'!M$2:M$172,'1. Datos'!M94)-1)/2</f>
        <v>57.5</v>
      </c>
      <c r="G94">
        <f>RANK('1. Datos'!N94,'1. Datos'!N$2:N$172,1)+(COUNTIF('1. Datos'!N$2:N$172,'1. Datos'!N94)-1)/2</f>
        <v>127</v>
      </c>
      <c r="H94">
        <f>RANK('1. Datos'!O94,'1. Datos'!O$2:O$172,1)+(COUNTIF('1. Datos'!O$2:O$172,'1. Datos'!O94)-1)/2</f>
        <v>126</v>
      </c>
      <c r="I94">
        <f>RANK('1. Datos'!P94,'1. Datos'!P$2:P$172,1)+(COUNTIF('1. Datos'!P$2:P$172,'1. Datos'!P94)-1)/2</f>
        <v>122</v>
      </c>
      <c r="J94">
        <f>RANK('1. Datos'!Q94,'1. Datos'!Q$2:Q$172,1)+(COUNTIF('1. Datos'!Q$2:Q$172,'1. Datos'!Q94)-1)/2</f>
        <v>123</v>
      </c>
      <c r="K94">
        <f>RANK('1. Datos'!R94,'1. Datos'!R$2:R$172,1)+(COUNTIF('1. Datos'!R$2:R$172,'1. Datos'!R94)-1)/2</f>
        <v>118.5</v>
      </c>
      <c r="L94">
        <f>RANK('1. Datos'!S94,'1. Datos'!S$2:S$172,1)+(COUNTIF('1. Datos'!S$2:S$172,'1. Datos'!S94)-1)/2</f>
        <v>124.5</v>
      </c>
    </row>
    <row r="95" spans="1:12" ht="15" customHeight="1" x14ac:dyDescent="0.45">
      <c r="A95">
        <f>RANK('1. Datos'!H95,'1. Datos'!H$2:H$172,1)+(COUNTIF('1. Datos'!H$2:H$172,'1. Datos'!H95)-1)/2</f>
        <v>41.5</v>
      </c>
      <c r="B95">
        <f>RANK('1. Datos'!I95,'1. Datos'!I$2:I$172,1)+(COUNTIF('1. Datos'!I$2:I$172,'1. Datos'!I95)-1)/2</f>
        <v>138</v>
      </c>
      <c r="C95">
        <f>RANK('1. Datos'!J95,'1. Datos'!J$2:J$172,1)+(COUNTIF('1. Datos'!J$2:J$172,'1. Datos'!J95)-1)/2</f>
        <v>137.5</v>
      </c>
      <c r="D95">
        <f>RANK('1. Datos'!K95,'1. Datos'!K$2:K$172,1)+(COUNTIF('1. Datos'!K$2:K$172,'1. Datos'!K95)-1)/2</f>
        <v>149</v>
      </c>
      <c r="E95">
        <f>RANK('1. Datos'!L95,'1. Datos'!L$2:L$172,1)+(COUNTIF('1. Datos'!L$2:L$172,'1. Datos'!L95)-1)/2</f>
        <v>132</v>
      </c>
      <c r="F95">
        <f>RANK('1. Datos'!M95,'1. Datos'!M$2:M$172,1)+(COUNTIF('1. Datos'!M$2:M$172,'1. Datos'!M95)-1)/2</f>
        <v>139.5</v>
      </c>
      <c r="G95">
        <f>RANK('1. Datos'!N95,'1. Datos'!N$2:N$172,1)+(COUNTIF('1. Datos'!N$2:N$172,'1. Datos'!N95)-1)/2</f>
        <v>53</v>
      </c>
      <c r="H95">
        <f>RANK('1. Datos'!O95,'1. Datos'!O$2:O$172,1)+(COUNTIF('1. Datos'!O$2:O$172,'1. Datos'!O95)-1)/2</f>
        <v>126</v>
      </c>
      <c r="I95">
        <f>RANK('1. Datos'!P95,'1. Datos'!P$2:P$172,1)+(COUNTIF('1. Datos'!P$2:P$172,'1. Datos'!P95)-1)/2</f>
        <v>122</v>
      </c>
      <c r="J95">
        <f>RANK('1. Datos'!Q95,'1. Datos'!Q$2:Q$172,1)+(COUNTIF('1. Datos'!Q$2:Q$172,'1. Datos'!Q95)-1)/2</f>
        <v>123</v>
      </c>
      <c r="K95">
        <f>RANK('1. Datos'!R95,'1. Datos'!R$2:R$172,1)+(COUNTIF('1. Datos'!R$2:R$172,'1. Datos'!R95)-1)/2</f>
        <v>33.5</v>
      </c>
      <c r="L95">
        <f>RANK('1. Datos'!S95,'1. Datos'!S$2:S$172,1)+(COUNTIF('1. Datos'!S$2:S$172,'1. Datos'!S95)-1)/2</f>
        <v>51.5</v>
      </c>
    </row>
    <row r="96" spans="1:12" ht="15" customHeight="1" x14ac:dyDescent="0.45">
      <c r="A96">
        <f>RANK('1. Datos'!H96,'1. Datos'!H$2:H$172,1)+(COUNTIF('1. Datos'!H$2:H$172,'1. Datos'!H96)-1)/2</f>
        <v>41.5</v>
      </c>
      <c r="B96">
        <f>RANK('1. Datos'!I96,'1. Datos'!I$2:I$172,1)+(COUNTIF('1. Datos'!I$2:I$172,'1. Datos'!I96)-1)/2</f>
        <v>138</v>
      </c>
      <c r="C96">
        <f>RANK('1. Datos'!J96,'1. Datos'!J$2:J$172,1)+(COUNTIF('1. Datos'!J$2:J$172,'1. Datos'!J96)-1)/2</f>
        <v>137.5</v>
      </c>
      <c r="D96">
        <f>RANK('1. Datos'!K96,'1. Datos'!K$2:K$172,1)+(COUNTIF('1. Datos'!K$2:K$172,'1. Datos'!K96)-1)/2</f>
        <v>11</v>
      </c>
      <c r="E96">
        <f>RANK('1. Datos'!L96,'1. Datos'!L$2:L$172,1)+(COUNTIF('1. Datos'!L$2:L$172,'1. Datos'!L96)-1)/2</f>
        <v>55.5</v>
      </c>
      <c r="F96">
        <f>RANK('1. Datos'!M96,'1. Datos'!M$2:M$172,1)+(COUNTIF('1. Datos'!M$2:M$172,'1. Datos'!M96)-1)/2</f>
        <v>57.5</v>
      </c>
      <c r="G96">
        <f>RANK('1. Datos'!N96,'1. Datos'!N$2:N$172,1)+(COUNTIF('1. Datos'!N$2:N$172,'1. Datos'!N96)-1)/2</f>
        <v>53</v>
      </c>
      <c r="H96">
        <f>RANK('1. Datos'!O96,'1. Datos'!O$2:O$172,1)+(COUNTIF('1. Datos'!O$2:O$172,'1. Datos'!O96)-1)/2</f>
        <v>49</v>
      </c>
      <c r="I96">
        <f>RANK('1. Datos'!P96,'1. Datos'!P$2:P$172,1)+(COUNTIF('1. Datos'!P$2:P$172,'1. Datos'!P96)-1)/2</f>
        <v>41.5</v>
      </c>
      <c r="J96">
        <f>RANK('1. Datos'!Q96,'1. Datos'!Q$2:Q$172,1)+(COUNTIF('1. Datos'!Q$2:Q$172,'1. Datos'!Q96)-1)/2</f>
        <v>38.5</v>
      </c>
      <c r="K96">
        <f>RANK('1. Datos'!R96,'1. Datos'!R$2:R$172,1)+(COUNTIF('1. Datos'!R$2:R$172,'1. Datos'!R96)-1)/2</f>
        <v>33.5</v>
      </c>
      <c r="L96">
        <f>RANK('1. Datos'!S96,'1. Datos'!S$2:S$172,1)+(COUNTIF('1. Datos'!S$2:S$172,'1. Datos'!S96)-1)/2</f>
        <v>51.5</v>
      </c>
    </row>
    <row r="97" spans="1:12" ht="15" customHeight="1" x14ac:dyDescent="0.45">
      <c r="A97">
        <f>RANK('1. Datos'!H97,'1. Datos'!H$2:H$172,1)+(COUNTIF('1. Datos'!H$2:H$172,'1. Datos'!H97)-1)/2</f>
        <v>125</v>
      </c>
      <c r="B97">
        <f>RANK('1. Datos'!I97,'1. Datos'!I$2:I$172,1)+(COUNTIF('1. Datos'!I$2:I$172,'1. Datos'!I97)-1)/2</f>
        <v>138</v>
      </c>
      <c r="C97">
        <f>RANK('1. Datos'!J97,'1. Datos'!J$2:J$172,1)+(COUNTIF('1. Datos'!J$2:J$172,'1. Datos'!J97)-1)/2</f>
        <v>137.5</v>
      </c>
      <c r="D97">
        <f>RANK('1. Datos'!K97,'1. Datos'!K$2:K$172,1)+(COUNTIF('1. Datos'!K$2:K$172,'1. Datos'!K97)-1)/2</f>
        <v>11</v>
      </c>
      <c r="E97">
        <f>RANK('1. Datos'!L97,'1. Datos'!L$2:L$172,1)+(COUNTIF('1. Datos'!L$2:L$172,'1. Datos'!L97)-1)/2</f>
        <v>132</v>
      </c>
      <c r="F97">
        <f>RANK('1. Datos'!M97,'1. Datos'!M$2:M$172,1)+(COUNTIF('1. Datos'!M$2:M$172,'1. Datos'!M97)-1)/2</f>
        <v>57.5</v>
      </c>
      <c r="G97">
        <f>RANK('1. Datos'!N97,'1. Datos'!N$2:N$172,1)+(COUNTIF('1. Datos'!N$2:N$172,'1. Datos'!N97)-1)/2</f>
        <v>127</v>
      </c>
      <c r="H97">
        <f>RANK('1. Datos'!O97,'1. Datos'!O$2:O$172,1)+(COUNTIF('1. Datos'!O$2:O$172,'1. Datos'!O97)-1)/2</f>
        <v>49</v>
      </c>
      <c r="I97">
        <f>RANK('1. Datos'!P97,'1. Datos'!P$2:P$172,1)+(COUNTIF('1. Datos'!P$2:P$172,'1. Datos'!P97)-1)/2</f>
        <v>122</v>
      </c>
      <c r="J97">
        <f>RANK('1. Datos'!Q97,'1. Datos'!Q$2:Q$172,1)+(COUNTIF('1. Datos'!Q$2:Q$172,'1. Datos'!Q97)-1)/2</f>
        <v>38.5</v>
      </c>
      <c r="K97">
        <f>RANK('1. Datos'!R97,'1. Datos'!R$2:R$172,1)+(COUNTIF('1. Datos'!R$2:R$172,'1. Datos'!R97)-1)/2</f>
        <v>118.5</v>
      </c>
      <c r="L97">
        <f>RANK('1. Datos'!S97,'1. Datos'!S$2:S$172,1)+(COUNTIF('1. Datos'!S$2:S$172,'1. Datos'!S97)-1)/2</f>
        <v>124.5</v>
      </c>
    </row>
    <row r="98" spans="1:12" ht="15" customHeight="1" x14ac:dyDescent="0.45">
      <c r="A98">
        <f>RANK('1. Datos'!H98,'1. Datos'!H$2:H$172,1)+(COUNTIF('1. Datos'!H$2:H$172,'1. Datos'!H98)-1)/2</f>
        <v>125</v>
      </c>
      <c r="B98">
        <f>RANK('1. Datos'!I98,'1. Datos'!I$2:I$172,1)+(COUNTIF('1. Datos'!I$2:I$172,'1. Datos'!I98)-1)/2</f>
        <v>57.5</v>
      </c>
      <c r="C98">
        <f>RANK('1. Datos'!J98,'1. Datos'!J$2:J$172,1)+(COUNTIF('1. Datos'!J$2:J$172,'1. Datos'!J98)-1)/2</f>
        <v>10.5</v>
      </c>
      <c r="D98">
        <f>RANK('1. Datos'!K98,'1. Datos'!K$2:K$172,1)+(COUNTIF('1. Datos'!K$2:K$172,'1. Datos'!K98)-1)/2</f>
        <v>149</v>
      </c>
      <c r="E98">
        <f>RANK('1. Datos'!L98,'1. Datos'!L$2:L$172,1)+(COUNTIF('1. Datos'!L$2:L$172,'1. Datos'!L98)-1)/2</f>
        <v>132</v>
      </c>
      <c r="F98">
        <f>RANK('1. Datos'!M98,'1. Datos'!M$2:M$172,1)+(COUNTIF('1. Datos'!M$2:M$172,'1. Datos'!M98)-1)/2</f>
        <v>139.5</v>
      </c>
      <c r="G98">
        <f>RANK('1. Datos'!N98,'1. Datos'!N$2:N$172,1)+(COUNTIF('1. Datos'!N$2:N$172,'1. Datos'!N98)-1)/2</f>
        <v>53</v>
      </c>
      <c r="H98">
        <f>RANK('1. Datos'!O98,'1. Datos'!O$2:O$172,1)+(COUNTIF('1. Datos'!O$2:O$172,'1. Datos'!O98)-1)/2</f>
        <v>49</v>
      </c>
      <c r="I98">
        <f>RANK('1. Datos'!P98,'1. Datos'!P$2:P$172,1)+(COUNTIF('1. Datos'!P$2:P$172,'1. Datos'!P98)-1)/2</f>
        <v>41.5</v>
      </c>
      <c r="J98">
        <f>RANK('1. Datos'!Q98,'1. Datos'!Q$2:Q$172,1)+(COUNTIF('1. Datos'!Q$2:Q$172,'1. Datos'!Q98)-1)/2</f>
        <v>123</v>
      </c>
      <c r="K98">
        <f>RANK('1. Datos'!R98,'1. Datos'!R$2:R$172,1)+(COUNTIF('1. Datos'!R$2:R$172,'1. Datos'!R98)-1)/2</f>
        <v>33.5</v>
      </c>
      <c r="L98">
        <f>RANK('1. Datos'!S98,'1. Datos'!S$2:S$172,1)+(COUNTIF('1. Datos'!S$2:S$172,'1. Datos'!S98)-1)/2</f>
        <v>51.5</v>
      </c>
    </row>
    <row r="99" spans="1:12" ht="15" customHeight="1" x14ac:dyDescent="0.45">
      <c r="A99">
        <f>RANK('1. Datos'!H99,'1. Datos'!H$2:H$172,1)+(COUNTIF('1. Datos'!H$2:H$172,'1. Datos'!H99)-1)/2</f>
        <v>125</v>
      </c>
      <c r="B99">
        <f>RANK('1. Datos'!I99,'1. Datos'!I$2:I$172,1)+(COUNTIF('1. Datos'!I$2:I$172,'1. Datos'!I99)-1)/2</f>
        <v>5.5</v>
      </c>
      <c r="C99">
        <f>RANK('1. Datos'!J99,'1. Datos'!J$2:J$172,1)+(COUNTIF('1. Datos'!J$2:J$172,'1. Datos'!J99)-1)/2</f>
        <v>62</v>
      </c>
      <c r="D99">
        <f>RANK('1. Datos'!K99,'1. Datos'!K$2:K$172,1)+(COUNTIF('1. Datos'!K$2:K$172,'1. Datos'!K99)-1)/2</f>
        <v>92.5</v>
      </c>
      <c r="E99">
        <f>RANK('1. Datos'!L99,'1. Datos'!L$2:L$172,1)+(COUNTIF('1. Datos'!L$2:L$172,'1. Datos'!L99)-1)/2</f>
        <v>132</v>
      </c>
      <c r="F99">
        <f>RANK('1. Datos'!M99,'1. Datos'!M$2:M$172,1)+(COUNTIF('1. Datos'!M$2:M$172,'1. Datos'!M99)-1)/2</f>
        <v>57.5</v>
      </c>
      <c r="G99">
        <f>RANK('1. Datos'!N99,'1. Datos'!N$2:N$172,1)+(COUNTIF('1. Datos'!N$2:N$172,'1. Datos'!N99)-1)/2</f>
        <v>16</v>
      </c>
      <c r="H99">
        <f>RANK('1. Datos'!O99,'1. Datos'!O$2:O$172,1)+(COUNTIF('1. Datos'!O$2:O$172,'1. Datos'!O99)-1)/2</f>
        <v>49</v>
      </c>
      <c r="I99">
        <f>RANK('1. Datos'!P99,'1. Datos'!P$2:P$172,1)+(COUNTIF('1. Datos'!P$2:P$172,'1. Datos'!P99)-1)/2</f>
        <v>41.5</v>
      </c>
      <c r="J99">
        <f>RANK('1. Datos'!Q99,'1. Datos'!Q$2:Q$172,1)+(COUNTIF('1. Datos'!Q$2:Q$172,'1. Datos'!Q99)-1)/2</f>
        <v>123</v>
      </c>
      <c r="K99">
        <f>RANK('1. Datos'!R99,'1. Datos'!R$2:R$172,1)+(COUNTIF('1. Datos'!R$2:R$172,'1. Datos'!R99)-1)/2</f>
        <v>118.5</v>
      </c>
      <c r="L99">
        <f>RANK('1. Datos'!S99,'1. Datos'!S$2:S$172,1)+(COUNTIF('1. Datos'!S$2:S$172,'1. Datos'!S99)-1)/2</f>
        <v>14</v>
      </c>
    </row>
    <row r="100" spans="1:12" ht="15" customHeight="1" x14ac:dyDescent="0.45">
      <c r="A100">
        <f>RANK('1. Datos'!H100,'1. Datos'!H$2:H$172,1)+(COUNTIF('1. Datos'!H$2:H$172,'1. Datos'!H100)-1)/2</f>
        <v>41.5</v>
      </c>
      <c r="B100">
        <f>RANK('1. Datos'!I100,'1. Datos'!I$2:I$172,1)+(COUNTIF('1. Datos'!I$2:I$172,'1. Datos'!I100)-1)/2</f>
        <v>5.5</v>
      </c>
      <c r="C100">
        <f>RANK('1. Datos'!J100,'1. Datos'!J$2:J$172,1)+(COUNTIF('1. Datos'!J$2:J$172,'1. Datos'!J100)-1)/2</f>
        <v>62</v>
      </c>
      <c r="D100">
        <f>RANK('1. Datos'!K100,'1. Datos'!K$2:K$172,1)+(COUNTIF('1. Datos'!K$2:K$172,'1. Datos'!K100)-1)/2</f>
        <v>92.5</v>
      </c>
      <c r="E100">
        <f>RANK('1. Datos'!L100,'1. Datos'!L$2:L$172,1)+(COUNTIF('1. Datos'!L$2:L$172,'1. Datos'!L100)-1)/2</f>
        <v>55.5</v>
      </c>
      <c r="F100">
        <f>RANK('1. Datos'!M100,'1. Datos'!M$2:M$172,1)+(COUNTIF('1. Datos'!M$2:M$172,'1. Datos'!M100)-1)/2</f>
        <v>57.5</v>
      </c>
      <c r="G100">
        <f>RANK('1. Datos'!N100,'1. Datos'!N$2:N$172,1)+(COUNTIF('1. Datos'!N$2:N$172,'1. Datos'!N100)-1)/2</f>
        <v>127</v>
      </c>
      <c r="H100">
        <f>RANK('1. Datos'!O100,'1. Datos'!O$2:O$172,1)+(COUNTIF('1. Datos'!O$2:O$172,'1. Datos'!O100)-1)/2</f>
        <v>49</v>
      </c>
      <c r="I100">
        <f>RANK('1. Datos'!P100,'1. Datos'!P$2:P$172,1)+(COUNTIF('1. Datos'!P$2:P$172,'1. Datos'!P100)-1)/2</f>
        <v>122</v>
      </c>
      <c r="J100">
        <f>RANK('1. Datos'!Q100,'1. Datos'!Q$2:Q$172,1)+(COUNTIF('1. Datos'!Q$2:Q$172,'1. Datos'!Q100)-1)/2</f>
        <v>38.5</v>
      </c>
      <c r="K100">
        <f>RANK('1. Datos'!R100,'1. Datos'!R$2:R$172,1)+(COUNTIF('1. Datos'!R$2:R$172,'1. Datos'!R100)-1)/2</f>
        <v>33.5</v>
      </c>
      <c r="L100">
        <f>RANK('1. Datos'!S100,'1. Datos'!S$2:S$172,1)+(COUNTIF('1. Datos'!S$2:S$172,'1. Datos'!S100)-1)/2</f>
        <v>124.5</v>
      </c>
    </row>
    <row r="101" spans="1:12" ht="15" customHeight="1" x14ac:dyDescent="0.45">
      <c r="A101">
        <f>RANK('1. Datos'!H101,'1. Datos'!H$2:H$172,1)+(COUNTIF('1. Datos'!H$2:H$172,'1. Datos'!H101)-1)/2</f>
        <v>125</v>
      </c>
      <c r="B101">
        <f>RANK('1. Datos'!I101,'1. Datos'!I$2:I$172,1)+(COUNTIF('1. Datos'!I$2:I$172,'1. Datos'!I101)-1)/2</f>
        <v>138</v>
      </c>
      <c r="C101">
        <f>RANK('1. Datos'!J101,'1. Datos'!J$2:J$172,1)+(COUNTIF('1. Datos'!J$2:J$172,'1. Datos'!J101)-1)/2</f>
        <v>137.5</v>
      </c>
      <c r="D101">
        <f>RANK('1. Datos'!K101,'1. Datos'!K$2:K$172,1)+(COUNTIF('1. Datos'!K$2:K$172,'1. Datos'!K101)-1)/2</f>
        <v>149</v>
      </c>
      <c r="E101">
        <f>RANK('1. Datos'!L101,'1. Datos'!L$2:L$172,1)+(COUNTIF('1. Datos'!L$2:L$172,'1. Datos'!L101)-1)/2</f>
        <v>55.5</v>
      </c>
      <c r="F101">
        <f>RANK('1. Datos'!M101,'1. Datos'!M$2:M$172,1)+(COUNTIF('1. Datos'!M$2:M$172,'1. Datos'!M101)-1)/2</f>
        <v>139.5</v>
      </c>
      <c r="G101">
        <f>RANK('1. Datos'!N101,'1. Datos'!N$2:N$172,1)+(COUNTIF('1. Datos'!N$2:N$172,'1. Datos'!N101)-1)/2</f>
        <v>127</v>
      </c>
      <c r="H101">
        <f>RANK('1. Datos'!O101,'1. Datos'!O$2:O$172,1)+(COUNTIF('1. Datos'!O$2:O$172,'1. Datos'!O101)-1)/2</f>
        <v>126</v>
      </c>
      <c r="I101">
        <f>RANK('1. Datos'!P101,'1. Datos'!P$2:P$172,1)+(COUNTIF('1. Datos'!P$2:P$172,'1. Datos'!P101)-1)/2</f>
        <v>41.5</v>
      </c>
      <c r="J101">
        <f>RANK('1. Datos'!Q101,'1. Datos'!Q$2:Q$172,1)+(COUNTIF('1. Datos'!Q$2:Q$172,'1. Datos'!Q101)-1)/2</f>
        <v>38.5</v>
      </c>
      <c r="K101">
        <f>RANK('1. Datos'!R101,'1. Datos'!R$2:R$172,1)+(COUNTIF('1. Datos'!R$2:R$172,'1. Datos'!R101)-1)/2</f>
        <v>118.5</v>
      </c>
      <c r="L101">
        <f>RANK('1. Datos'!S101,'1. Datos'!S$2:S$172,1)+(COUNTIF('1. Datos'!S$2:S$172,'1. Datos'!S101)-1)/2</f>
        <v>124.5</v>
      </c>
    </row>
    <row r="102" spans="1:12" ht="15" customHeight="1" x14ac:dyDescent="0.45">
      <c r="A102">
        <f>RANK('1. Datos'!H102,'1. Datos'!H$2:H$172,1)+(COUNTIF('1. Datos'!H$2:H$172,'1. Datos'!H102)-1)/2</f>
        <v>125</v>
      </c>
      <c r="B102">
        <f>RANK('1. Datos'!I102,'1. Datos'!I$2:I$172,1)+(COUNTIF('1. Datos'!I$2:I$172,'1. Datos'!I102)-1)/2</f>
        <v>57.5</v>
      </c>
      <c r="C102">
        <f>RANK('1. Datos'!J102,'1. Datos'!J$2:J$172,1)+(COUNTIF('1. Datos'!J$2:J$172,'1. Datos'!J102)-1)/2</f>
        <v>62</v>
      </c>
      <c r="D102">
        <f>RANK('1. Datos'!K102,'1. Datos'!K$2:K$172,1)+(COUNTIF('1. Datos'!K$2:K$172,'1. Datos'!K102)-1)/2</f>
        <v>92.5</v>
      </c>
      <c r="E102">
        <f>RANK('1. Datos'!L102,'1. Datos'!L$2:L$172,1)+(COUNTIF('1. Datos'!L$2:L$172,'1. Datos'!L102)-1)/2</f>
        <v>55.5</v>
      </c>
      <c r="F102">
        <f>RANK('1. Datos'!M102,'1. Datos'!M$2:M$172,1)+(COUNTIF('1. Datos'!M$2:M$172,'1. Datos'!M102)-1)/2</f>
        <v>57.5</v>
      </c>
      <c r="G102">
        <f>RANK('1. Datos'!N102,'1. Datos'!N$2:N$172,1)+(COUNTIF('1. Datos'!N$2:N$172,'1. Datos'!N102)-1)/2</f>
        <v>127</v>
      </c>
      <c r="H102">
        <f>RANK('1. Datos'!O102,'1. Datos'!O$2:O$172,1)+(COUNTIF('1. Datos'!O$2:O$172,'1. Datos'!O102)-1)/2</f>
        <v>126</v>
      </c>
      <c r="I102">
        <f>RANK('1. Datos'!P102,'1. Datos'!P$2:P$172,1)+(COUNTIF('1. Datos'!P$2:P$172,'1. Datos'!P102)-1)/2</f>
        <v>122</v>
      </c>
      <c r="J102">
        <f>RANK('1. Datos'!Q102,'1. Datos'!Q$2:Q$172,1)+(COUNTIF('1. Datos'!Q$2:Q$172,'1. Datos'!Q102)-1)/2</f>
        <v>38.5</v>
      </c>
      <c r="K102">
        <f>RANK('1. Datos'!R102,'1. Datos'!R$2:R$172,1)+(COUNTIF('1. Datos'!R$2:R$172,'1. Datos'!R102)-1)/2</f>
        <v>118.5</v>
      </c>
      <c r="L102">
        <f>RANK('1. Datos'!S102,'1. Datos'!S$2:S$172,1)+(COUNTIF('1. Datos'!S$2:S$172,'1. Datos'!S102)-1)/2</f>
        <v>51.5</v>
      </c>
    </row>
    <row r="103" spans="1:12" ht="15" customHeight="1" x14ac:dyDescent="0.45">
      <c r="A103">
        <f>RANK('1. Datos'!H103,'1. Datos'!H$2:H$172,1)+(COUNTIF('1. Datos'!H$2:H$172,'1. Datos'!H103)-1)/2</f>
        <v>41.5</v>
      </c>
      <c r="B103">
        <f>RANK('1. Datos'!I103,'1. Datos'!I$2:I$172,1)+(COUNTIF('1. Datos'!I$2:I$172,'1. Datos'!I103)-1)/2</f>
        <v>57.5</v>
      </c>
      <c r="C103">
        <f>RANK('1. Datos'!J103,'1. Datos'!J$2:J$172,1)+(COUNTIF('1. Datos'!J$2:J$172,'1. Datos'!J103)-1)/2</f>
        <v>137.5</v>
      </c>
      <c r="D103">
        <f>RANK('1. Datos'!K103,'1. Datos'!K$2:K$172,1)+(COUNTIF('1. Datos'!K$2:K$172,'1. Datos'!K103)-1)/2</f>
        <v>39</v>
      </c>
      <c r="E103">
        <f>RANK('1. Datos'!L103,'1. Datos'!L$2:L$172,1)+(COUNTIF('1. Datos'!L$2:L$172,'1. Datos'!L103)-1)/2</f>
        <v>55.5</v>
      </c>
      <c r="F103">
        <f>RANK('1. Datos'!M103,'1. Datos'!M$2:M$172,1)+(COUNTIF('1. Datos'!M$2:M$172,'1. Datos'!M103)-1)/2</f>
        <v>139.5</v>
      </c>
      <c r="G103">
        <f>RANK('1. Datos'!N103,'1. Datos'!N$2:N$172,1)+(COUNTIF('1. Datos'!N$2:N$172,'1. Datos'!N103)-1)/2</f>
        <v>127</v>
      </c>
      <c r="H103">
        <f>RANK('1. Datos'!O103,'1. Datos'!O$2:O$172,1)+(COUNTIF('1. Datos'!O$2:O$172,'1. Datos'!O103)-1)/2</f>
        <v>126</v>
      </c>
      <c r="I103">
        <f>RANK('1. Datos'!P103,'1. Datos'!P$2:P$172,1)+(COUNTIF('1. Datos'!P$2:P$172,'1. Datos'!P103)-1)/2</f>
        <v>41.5</v>
      </c>
      <c r="J103">
        <f>RANK('1. Datos'!Q103,'1. Datos'!Q$2:Q$172,1)+(COUNTIF('1. Datos'!Q$2:Q$172,'1. Datos'!Q103)-1)/2</f>
        <v>123</v>
      </c>
      <c r="K103">
        <f>RANK('1. Datos'!R103,'1. Datos'!R$2:R$172,1)+(COUNTIF('1. Datos'!R$2:R$172,'1. Datos'!R103)-1)/2</f>
        <v>118.5</v>
      </c>
      <c r="L103">
        <f>RANK('1. Datos'!S103,'1. Datos'!S$2:S$172,1)+(COUNTIF('1. Datos'!S$2:S$172,'1. Datos'!S103)-1)/2</f>
        <v>51.5</v>
      </c>
    </row>
    <row r="104" spans="1:12" ht="15" customHeight="1" x14ac:dyDescent="0.45">
      <c r="A104">
        <f>RANK('1. Datos'!H104,'1. Datos'!H$2:H$172,1)+(COUNTIF('1. Datos'!H$2:H$172,'1. Datos'!H104)-1)/2</f>
        <v>125</v>
      </c>
      <c r="B104">
        <f>RANK('1. Datos'!I104,'1. Datos'!I$2:I$172,1)+(COUNTIF('1. Datos'!I$2:I$172,'1. Datos'!I104)-1)/2</f>
        <v>138</v>
      </c>
      <c r="C104">
        <f>RANK('1. Datos'!J104,'1. Datos'!J$2:J$172,1)+(COUNTIF('1. Datos'!J$2:J$172,'1. Datos'!J104)-1)/2</f>
        <v>137.5</v>
      </c>
      <c r="D104">
        <f>RANK('1. Datos'!K104,'1. Datos'!K$2:K$172,1)+(COUNTIF('1. Datos'!K$2:K$172,'1. Datos'!K104)-1)/2</f>
        <v>149</v>
      </c>
      <c r="E104">
        <f>RANK('1. Datos'!L104,'1. Datos'!L$2:L$172,1)+(COUNTIF('1. Datos'!L$2:L$172,'1. Datos'!L104)-1)/2</f>
        <v>132</v>
      </c>
      <c r="F104">
        <f>RANK('1. Datos'!M104,'1. Datos'!M$2:M$172,1)+(COUNTIF('1. Datos'!M$2:M$172,'1. Datos'!M104)-1)/2</f>
        <v>57.5</v>
      </c>
      <c r="G104">
        <f>RANK('1. Datos'!N104,'1. Datos'!N$2:N$172,1)+(COUNTIF('1. Datos'!N$2:N$172,'1. Datos'!N104)-1)/2</f>
        <v>53</v>
      </c>
      <c r="H104">
        <f>RANK('1. Datos'!O104,'1. Datos'!O$2:O$172,1)+(COUNTIF('1. Datos'!O$2:O$172,'1. Datos'!O104)-1)/2</f>
        <v>9.5</v>
      </c>
      <c r="I104">
        <f>RANK('1. Datos'!P104,'1. Datos'!P$2:P$172,1)+(COUNTIF('1. Datos'!P$2:P$172,'1. Datos'!P104)-1)/2</f>
        <v>41.5</v>
      </c>
      <c r="J104">
        <f>RANK('1. Datos'!Q104,'1. Datos'!Q$2:Q$172,1)+(COUNTIF('1. Datos'!Q$2:Q$172,'1. Datos'!Q104)-1)/2</f>
        <v>38.5</v>
      </c>
      <c r="K104">
        <f>RANK('1. Datos'!R104,'1. Datos'!R$2:R$172,1)+(COUNTIF('1. Datos'!R$2:R$172,'1. Datos'!R104)-1)/2</f>
        <v>33.5</v>
      </c>
      <c r="L104">
        <f>RANK('1. Datos'!S104,'1. Datos'!S$2:S$172,1)+(COUNTIF('1. Datos'!S$2:S$172,'1. Datos'!S104)-1)/2</f>
        <v>14</v>
      </c>
    </row>
    <row r="105" spans="1:12" ht="15" customHeight="1" x14ac:dyDescent="0.45">
      <c r="A105">
        <f>RANK('1. Datos'!H105,'1. Datos'!H$2:H$172,1)+(COUNTIF('1. Datos'!H$2:H$172,'1. Datos'!H105)-1)/2</f>
        <v>125</v>
      </c>
      <c r="B105">
        <f>RANK('1. Datos'!I105,'1. Datos'!I$2:I$172,1)+(COUNTIF('1. Datos'!I$2:I$172,'1. Datos'!I105)-1)/2</f>
        <v>57.5</v>
      </c>
      <c r="C105">
        <f>RANK('1. Datos'!J105,'1. Datos'!J$2:J$172,1)+(COUNTIF('1. Datos'!J$2:J$172,'1. Datos'!J105)-1)/2</f>
        <v>62</v>
      </c>
      <c r="D105">
        <f>RANK('1. Datos'!K105,'1. Datos'!K$2:K$172,1)+(COUNTIF('1. Datos'!K$2:K$172,'1. Datos'!K105)-1)/2</f>
        <v>92.5</v>
      </c>
      <c r="E105">
        <f>RANK('1. Datos'!L105,'1. Datos'!L$2:L$172,1)+(COUNTIF('1. Datos'!L$2:L$172,'1. Datos'!L105)-1)/2</f>
        <v>55.5</v>
      </c>
      <c r="F105">
        <f>RANK('1. Datos'!M105,'1. Datos'!M$2:M$172,1)+(COUNTIF('1. Datos'!M$2:M$172,'1. Datos'!M105)-1)/2</f>
        <v>139.5</v>
      </c>
      <c r="G105">
        <f>RANK('1. Datos'!N105,'1. Datos'!N$2:N$172,1)+(COUNTIF('1. Datos'!N$2:N$172,'1. Datos'!N105)-1)/2</f>
        <v>127</v>
      </c>
      <c r="H105">
        <f>RANK('1. Datos'!O105,'1. Datos'!O$2:O$172,1)+(COUNTIF('1. Datos'!O$2:O$172,'1. Datos'!O105)-1)/2</f>
        <v>49</v>
      </c>
      <c r="I105">
        <f>RANK('1. Datos'!P105,'1. Datos'!P$2:P$172,1)+(COUNTIF('1. Datos'!P$2:P$172,'1. Datos'!P105)-1)/2</f>
        <v>122</v>
      </c>
      <c r="J105">
        <f>RANK('1. Datos'!Q105,'1. Datos'!Q$2:Q$172,1)+(COUNTIF('1. Datos'!Q$2:Q$172,'1. Datos'!Q105)-1)/2</f>
        <v>123</v>
      </c>
      <c r="K105">
        <f>RANK('1. Datos'!R105,'1. Datos'!R$2:R$172,1)+(COUNTIF('1. Datos'!R$2:R$172,'1. Datos'!R105)-1)/2</f>
        <v>33.5</v>
      </c>
      <c r="L105">
        <f>RANK('1. Datos'!S105,'1. Datos'!S$2:S$172,1)+(COUNTIF('1. Datos'!S$2:S$172,'1. Datos'!S105)-1)/2</f>
        <v>124.5</v>
      </c>
    </row>
    <row r="106" spans="1:12" ht="15" customHeight="1" x14ac:dyDescent="0.45">
      <c r="A106">
        <f>RANK('1. Datos'!H106,'1. Datos'!H$2:H$172,1)+(COUNTIF('1. Datos'!H$2:H$172,'1. Datos'!H106)-1)/2</f>
        <v>125</v>
      </c>
      <c r="B106">
        <f>RANK('1. Datos'!I106,'1. Datos'!I$2:I$172,1)+(COUNTIF('1. Datos'!I$2:I$172,'1. Datos'!I106)-1)/2</f>
        <v>57.5</v>
      </c>
      <c r="C106">
        <f>RANK('1. Datos'!J106,'1. Datos'!J$2:J$172,1)+(COUNTIF('1. Datos'!J$2:J$172,'1. Datos'!J106)-1)/2</f>
        <v>62</v>
      </c>
      <c r="D106">
        <f>RANK('1. Datos'!K106,'1. Datos'!K$2:K$172,1)+(COUNTIF('1. Datos'!K$2:K$172,'1. Datos'!K106)-1)/2</f>
        <v>92.5</v>
      </c>
      <c r="E106">
        <f>RANK('1. Datos'!L106,'1. Datos'!L$2:L$172,1)+(COUNTIF('1. Datos'!L$2:L$172,'1. Datos'!L106)-1)/2</f>
        <v>132</v>
      </c>
      <c r="F106">
        <f>RANK('1. Datos'!M106,'1. Datos'!M$2:M$172,1)+(COUNTIF('1. Datos'!M$2:M$172,'1. Datos'!M106)-1)/2</f>
        <v>139.5</v>
      </c>
      <c r="G106">
        <f>RANK('1. Datos'!N106,'1. Datos'!N$2:N$172,1)+(COUNTIF('1. Datos'!N$2:N$172,'1. Datos'!N106)-1)/2</f>
        <v>53</v>
      </c>
      <c r="H106">
        <f>RANK('1. Datos'!O106,'1. Datos'!O$2:O$172,1)+(COUNTIF('1. Datos'!O$2:O$172,'1. Datos'!O106)-1)/2</f>
        <v>49</v>
      </c>
      <c r="I106">
        <f>RANK('1. Datos'!P106,'1. Datos'!P$2:P$172,1)+(COUNTIF('1. Datos'!P$2:P$172,'1. Datos'!P106)-1)/2</f>
        <v>122</v>
      </c>
      <c r="J106">
        <f>RANK('1. Datos'!Q106,'1. Datos'!Q$2:Q$172,1)+(COUNTIF('1. Datos'!Q$2:Q$172,'1. Datos'!Q106)-1)/2</f>
        <v>38.5</v>
      </c>
      <c r="K106">
        <f>RANK('1. Datos'!R106,'1. Datos'!R$2:R$172,1)+(COUNTIF('1. Datos'!R$2:R$172,'1. Datos'!R106)-1)/2</f>
        <v>118.5</v>
      </c>
      <c r="L106">
        <f>RANK('1. Datos'!S106,'1. Datos'!S$2:S$172,1)+(COUNTIF('1. Datos'!S$2:S$172,'1. Datos'!S106)-1)/2</f>
        <v>51.5</v>
      </c>
    </row>
    <row r="107" spans="1:12" ht="15" customHeight="1" x14ac:dyDescent="0.45">
      <c r="A107">
        <f>RANK('1. Datos'!H107,'1. Datos'!H$2:H$172,1)+(COUNTIF('1. Datos'!H$2:H$172,'1. Datos'!H107)-1)/2</f>
        <v>41.5</v>
      </c>
      <c r="B107">
        <f>RANK('1. Datos'!I107,'1. Datos'!I$2:I$172,1)+(COUNTIF('1. Datos'!I$2:I$172,'1. Datos'!I107)-1)/2</f>
        <v>57.5</v>
      </c>
      <c r="C107">
        <f>RANK('1. Datos'!J107,'1. Datos'!J$2:J$172,1)+(COUNTIF('1. Datos'!J$2:J$172,'1. Datos'!J107)-1)/2</f>
        <v>62</v>
      </c>
      <c r="D107">
        <f>RANK('1. Datos'!K107,'1. Datos'!K$2:K$172,1)+(COUNTIF('1. Datos'!K$2:K$172,'1. Datos'!K107)-1)/2</f>
        <v>92.5</v>
      </c>
      <c r="E107">
        <f>RANK('1. Datos'!L107,'1. Datos'!L$2:L$172,1)+(COUNTIF('1. Datos'!L$2:L$172,'1. Datos'!L107)-1)/2</f>
        <v>55.5</v>
      </c>
      <c r="F107">
        <f>RANK('1. Datos'!M107,'1. Datos'!M$2:M$172,1)+(COUNTIF('1. Datos'!M$2:M$172,'1. Datos'!M107)-1)/2</f>
        <v>57.5</v>
      </c>
      <c r="G107">
        <f>RANK('1. Datos'!N107,'1. Datos'!N$2:N$172,1)+(COUNTIF('1. Datos'!N$2:N$172,'1. Datos'!N107)-1)/2</f>
        <v>53</v>
      </c>
      <c r="H107">
        <f>RANK('1. Datos'!O107,'1. Datos'!O$2:O$172,1)+(COUNTIF('1. Datos'!O$2:O$172,'1. Datos'!O107)-1)/2</f>
        <v>49</v>
      </c>
      <c r="I107">
        <f>RANK('1. Datos'!P107,'1. Datos'!P$2:P$172,1)+(COUNTIF('1. Datos'!P$2:P$172,'1. Datos'!P107)-1)/2</f>
        <v>5.5</v>
      </c>
      <c r="J107">
        <f>RANK('1. Datos'!Q107,'1. Datos'!Q$2:Q$172,1)+(COUNTIF('1. Datos'!Q$2:Q$172,'1. Datos'!Q107)-1)/2</f>
        <v>38.5</v>
      </c>
      <c r="K107">
        <f>RANK('1. Datos'!R107,'1. Datos'!R$2:R$172,1)+(COUNTIF('1. Datos'!R$2:R$172,'1. Datos'!R107)-1)/2</f>
        <v>118.5</v>
      </c>
      <c r="L107">
        <f>RANK('1. Datos'!S107,'1. Datos'!S$2:S$172,1)+(COUNTIF('1. Datos'!S$2:S$172,'1. Datos'!S107)-1)/2</f>
        <v>51.5</v>
      </c>
    </row>
    <row r="108" spans="1:12" ht="15" customHeight="1" x14ac:dyDescent="0.45">
      <c r="A108">
        <f>RANK('1. Datos'!H108,'1. Datos'!H$2:H$172,1)+(COUNTIF('1. Datos'!H$2:H$172,'1. Datos'!H108)-1)/2</f>
        <v>41.5</v>
      </c>
      <c r="B108">
        <f>RANK('1. Datos'!I108,'1. Datos'!I$2:I$172,1)+(COUNTIF('1. Datos'!I$2:I$172,'1. Datos'!I108)-1)/2</f>
        <v>5.5</v>
      </c>
      <c r="C108">
        <f>RANK('1. Datos'!J108,'1. Datos'!J$2:J$172,1)+(COUNTIF('1. Datos'!J$2:J$172,'1. Datos'!J108)-1)/2</f>
        <v>62</v>
      </c>
      <c r="D108">
        <f>RANK('1. Datos'!K108,'1. Datos'!K$2:K$172,1)+(COUNTIF('1. Datos'!K$2:K$172,'1. Datos'!K108)-1)/2</f>
        <v>149</v>
      </c>
      <c r="E108">
        <f>RANK('1. Datos'!L108,'1. Datos'!L$2:L$172,1)+(COUNTIF('1. Datos'!L$2:L$172,'1. Datos'!L108)-1)/2</f>
        <v>132</v>
      </c>
      <c r="F108">
        <f>RANK('1. Datos'!M108,'1. Datos'!M$2:M$172,1)+(COUNTIF('1. Datos'!M$2:M$172,'1. Datos'!M108)-1)/2</f>
        <v>57.5</v>
      </c>
      <c r="G108">
        <f>RANK('1. Datos'!N108,'1. Datos'!N$2:N$172,1)+(COUNTIF('1. Datos'!N$2:N$172,'1. Datos'!N108)-1)/2</f>
        <v>127</v>
      </c>
      <c r="H108">
        <f>RANK('1. Datos'!O108,'1. Datos'!O$2:O$172,1)+(COUNTIF('1. Datos'!O$2:O$172,'1. Datos'!O108)-1)/2</f>
        <v>126</v>
      </c>
      <c r="I108">
        <f>RANK('1. Datos'!P108,'1. Datos'!P$2:P$172,1)+(COUNTIF('1. Datos'!P$2:P$172,'1. Datos'!P108)-1)/2</f>
        <v>41.5</v>
      </c>
      <c r="J108">
        <f>RANK('1. Datos'!Q108,'1. Datos'!Q$2:Q$172,1)+(COUNTIF('1. Datos'!Q$2:Q$172,'1. Datos'!Q108)-1)/2</f>
        <v>123</v>
      </c>
      <c r="K108">
        <f>RANK('1. Datos'!R108,'1. Datos'!R$2:R$172,1)+(COUNTIF('1. Datos'!R$2:R$172,'1. Datos'!R108)-1)/2</f>
        <v>118.5</v>
      </c>
      <c r="L108">
        <f>RANK('1. Datos'!S108,'1. Datos'!S$2:S$172,1)+(COUNTIF('1. Datos'!S$2:S$172,'1. Datos'!S108)-1)/2</f>
        <v>14</v>
      </c>
    </row>
    <row r="109" spans="1:12" ht="15" customHeight="1" x14ac:dyDescent="0.45">
      <c r="A109">
        <f>RANK('1. Datos'!H109,'1. Datos'!H$2:H$172,1)+(COUNTIF('1. Datos'!H$2:H$172,'1. Datos'!H109)-1)/2</f>
        <v>41.5</v>
      </c>
      <c r="B109">
        <f>RANK('1. Datos'!I109,'1. Datos'!I$2:I$172,1)+(COUNTIF('1. Datos'!I$2:I$172,'1. Datos'!I109)-1)/2</f>
        <v>57.5</v>
      </c>
      <c r="C109">
        <f>RANK('1. Datos'!J109,'1. Datos'!J$2:J$172,1)+(COUNTIF('1. Datos'!J$2:J$172,'1. Datos'!J109)-1)/2</f>
        <v>10.5</v>
      </c>
      <c r="D109">
        <f>RANK('1. Datos'!K109,'1. Datos'!K$2:K$172,1)+(COUNTIF('1. Datos'!K$2:K$172,'1. Datos'!K109)-1)/2</f>
        <v>39</v>
      </c>
      <c r="E109">
        <f>RANK('1. Datos'!L109,'1. Datos'!L$2:L$172,1)+(COUNTIF('1. Datos'!L$2:L$172,'1. Datos'!L109)-1)/2</f>
        <v>132</v>
      </c>
      <c r="F109">
        <f>RANK('1. Datos'!M109,'1. Datos'!M$2:M$172,1)+(COUNTIF('1. Datos'!M$2:M$172,'1. Datos'!M109)-1)/2</f>
        <v>139.5</v>
      </c>
      <c r="G109">
        <f>RANK('1. Datos'!N109,'1. Datos'!N$2:N$172,1)+(COUNTIF('1. Datos'!N$2:N$172,'1. Datos'!N109)-1)/2</f>
        <v>53</v>
      </c>
      <c r="H109">
        <f>RANK('1. Datos'!O109,'1. Datos'!O$2:O$172,1)+(COUNTIF('1. Datos'!O$2:O$172,'1. Datos'!O109)-1)/2</f>
        <v>126</v>
      </c>
      <c r="I109">
        <f>RANK('1. Datos'!P109,'1. Datos'!P$2:P$172,1)+(COUNTIF('1. Datos'!P$2:P$172,'1. Datos'!P109)-1)/2</f>
        <v>122</v>
      </c>
      <c r="J109">
        <f>RANK('1. Datos'!Q109,'1. Datos'!Q$2:Q$172,1)+(COUNTIF('1. Datos'!Q$2:Q$172,'1. Datos'!Q109)-1)/2</f>
        <v>123</v>
      </c>
      <c r="K109">
        <f>RANK('1. Datos'!R109,'1. Datos'!R$2:R$172,1)+(COUNTIF('1. Datos'!R$2:R$172,'1. Datos'!R109)-1)/2</f>
        <v>118.5</v>
      </c>
      <c r="L109">
        <f>RANK('1. Datos'!S109,'1. Datos'!S$2:S$172,1)+(COUNTIF('1. Datos'!S$2:S$172,'1. Datos'!S109)-1)/2</f>
        <v>51.5</v>
      </c>
    </row>
    <row r="110" spans="1:12" ht="15" customHeight="1" x14ac:dyDescent="0.45">
      <c r="A110">
        <f>RANK('1. Datos'!H110,'1. Datos'!H$2:H$172,1)+(COUNTIF('1. Datos'!H$2:H$172,'1. Datos'!H110)-1)/2</f>
        <v>41.5</v>
      </c>
      <c r="B110">
        <f>RANK('1. Datos'!I110,'1. Datos'!I$2:I$172,1)+(COUNTIF('1. Datos'!I$2:I$172,'1. Datos'!I110)-1)/2</f>
        <v>138</v>
      </c>
      <c r="C110">
        <f>RANK('1. Datos'!J110,'1. Datos'!J$2:J$172,1)+(COUNTIF('1. Datos'!J$2:J$172,'1. Datos'!J110)-1)/2</f>
        <v>62</v>
      </c>
      <c r="D110">
        <f>RANK('1. Datos'!K110,'1. Datos'!K$2:K$172,1)+(COUNTIF('1. Datos'!K$2:K$172,'1. Datos'!K110)-1)/2</f>
        <v>92.5</v>
      </c>
      <c r="E110">
        <f>RANK('1. Datos'!L110,'1. Datos'!L$2:L$172,1)+(COUNTIF('1. Datos'!L$2:L$172,'1. Datos'!L110)-1)/2</f>
        <v>10.5</v>
      </c>
      <c r="F110">
        <f>RANK('1. Datos'!M110,'1. Datos'!M$2:M$172,1)+(COUNTIF('1. Datos'!M$2:M$172,'1. Datos'!M110)-1)/2</f>
        <v>57.5</v>
      </c>
      <c r="G110">
        <f>RANK('1. Datos'!N110,'1. Datos'!N$2:N$172,1)+(COUNTIF('1. Datos'!N$2:N$172,'1. Datos'!N110)-1)/2</f>
        <v>127</v>
      </c>
      <c r="H110">
        <f>RANK('1. Datos'!O110,'1. Datos'!O$2:O$172,1)+(COUNTIF('1. Datos'!O$2:O$172,'1. Datos'!O110)-1)/2</f>
        <v>126</v>
      </c>
      <c r="I110">
        <f>RANK('1. Datos'!P110,'1. Datos'!P$2:P$172,1)+(COUNTIF('1. Datos'!P$2:P$172,'1. Datos'!P110)-1)/2</f>
        <v>41.5</v>
      </c>
      <c r="J110">
        <f>RANK('1. Datos'!Q110,'1. Datos'!Q$2:Q$172,1)+(COUNTIF('1. Datos'!Q$2:Q$172,'1. Datos'!Q110)-1)/2</f>
        <v>38.5</v>
      </c>
      <c r="K110">
        <f>RANK('1. Datos'!R110,'1. Datos'!R$2:R$172,1)+(COUNTIF('1. Datos'!R$2:R$172,'1. Datos'!R110)-1)/2</f>
        <v>118.5</v>
      </c>
      <c r="L110">
        <f>RANK('1. Datos'!S110,'1. Datos'!S$2:S$172,1)+(COUNTIF('1. Datos'!S$2:S$172,'1. Datos'!S110)-1)/2</f>
        <v>124.5</v>
      </c>
    </row>
    <row r="111" spans="1:12" ht="15" customHeight="1" x14ac:dyDescent="0.45">
      <c r="A111">
        <f>RANK('1. Datos'!H111,'1. Datos'!H$2:H$172,1)+(COUNTIF('1. Datos'!H$2:H$172,'1. Datos'!H111)-1)/2</f>
        <v>125</v>
      </c>
      <c r="B111">
        <f>RANK('1. Datos'!I111,'1. Datos'!I$2:I$172,1)+(COUNTIF('1. Datos'!I$2:I$172,'1. Datos'!I111)-1)/2</f>
        <v>57.5</v>
      </c>
      <c r="C111">
        <f>RANK('1. Datos'!J111,'1. Datos'!J$2:J$172,1)+(COUNTIF('1. Datos'!J$2:J$172,'1. Datos'!J111)-1)/2</f>
        <v>62</v>
      </c>
      <c r="D111">
        <f>RANK('1. Datos'!K111,'1. Datos'!K$2:K$172,1)+(COUNTIF('1. Datos'!K$2:K$172,'1. Datos'!K111)-1)/2</f>
        <v>92.5</v>
      </c>
      <c r="E111">
        <f>RANK('1. Datos'!L111,'1. Datos'!L$2:L$172,1)+(COUNTIF('1. Datos'!L$2:L$172,'1. Datos'!L111)-1)/2</f>
        <v>132</v>
      </c>
      <c r="F111">
        <f>RANK('1. Datos'!M111,'1. Datos'!M$2:M$172,1)+(COUNTIF('1. Datos'!M$2:M$172,'1. Datos'!M111)-1)/2</f>
        <v>139.5</v>
      </c>
      <c r="G111">
        <f>RANK('1. Datos'!N111,'1. Datos'!N$2:N$172,1)+(COUNTIF('1. Datos'!N$2:N$172,'1. Datos'!N111)-1)/2</f>
        <v>53</v>
      </c>
      <c r="H111">
        <f>RANK('1. Datos'!O111,'1. Datos'!O$2:O$172,1)+(COUNTIF('1. Datos'!O$2:O$172,'1. Datos'!O111)-1)/2</f>
        <v>9.5</v>
      </c>
      <c r="I111">
        <f>RANK('1. Datos'!P111,'1. Datos'!P$2:P$172,1)+(COUNTIF('1. Datos'!P$2:P$172,'1. Datos'!P111)-1)/2</f>
        <v>41.5</v>
      </c>
      <c r="J111">
        <f>RANK('1. Datos'!Q111,'1. Datos'!Q$2:Q$172,1)+(COUNTIF('1. Datos'!Q$2:Q$172,'1. Datos'!Q111)-1)/2</f>
        <v>38.5</v>
      </c>
      <c r="K111">
        <f>RANK('1. Datos'!R111,'1. Datos'!R$2:R$172,1)+(COUNTIF('1. Datos'!R$2:R$172,'1. Datos'!R111)-1)/2</f>
        <v>33.5</v>
      </c>
      <c r="L111">
        <f>RANK('1. Datos'!S111,'1. Datos'!S$2:S$172,1)+(COUNTIF('1. Datos'!S$2:S$172,'1. Datos'!S111)-1)/2</f>
        <v>124.5</v>
      </c>
    </row>
    <row r="112" spans="1:12" ht="15" customHeight="1" x14ac:dyDescent="0.45">
      <c r="A112">
        <f>RANK('1. Datos'!H112,'1. Datos'!H$2:H$172,1)+(COUNTIF('1. Datos'!H$2:H$172,'1. Datos'!H112)-1)/2</f>
        <v>125</v>
      </c>
      <c r="B112">
        <f>RANK('1. Datos'!I112,'1. Datos'!I$2:I$172,1)+(COUNTIF('1. Datos'!I$2:I$172,'1. Datos'!I112)-1)/2</f>
        <v>138</v>
      </c>
      <c r="C112">
        <f>RANK('1. Datos'!J112,'1. Datos'!J$2:J$172,1)+(COUNTIF('1. Datos'!J$2:J$172,'1. Datos'!J112)-1)/2</f>
        <v>137.5</v>
      </c>
      <c r="D112">
        <f>RANK('1. Datos'!K112,'1. Datos'!K$2:K$172,1)+(COUNTIF('1. Datos'!K$2:K$172,'1. Datos'!K112)-1)/2</f>
        <v>92.5</v>
      </c>
      <c r="E112">
        <f>RANK('1. Datos'!L112,'1. Datos'!L$2:L$172,1)+(COUNTIF('1. Datos'!L$2:L$172,'1. Datos'!L112)-1)/2</f>
        <v>55.5</v>
      </c>
      <c r="F112">
        <f>RANK('1. Datos'!M112,'1. Datos'!M$2:M$172,1)+(COUNTIF('1. Datos'!M$2:M$172,'1. Datos'!M112)-1)/2</f>
        <v>57.5</v>
      </c>
      <c r="G112">
        <f>RANK('1. Datos'!N112,'1. Datos'!N$2:N$172,1)+(COUNTIF('1. Datos'!N$2:N$172,'1. Datos'!N112)-1)/2</f>
        <v>127</v>
      </c>
      <c r="H112">
        <f>RANK('1. Datos'!O112,'1. Datos'!O$2:O$172,1)+(COUNTIF('1. Datos'!O$2:O$172,'1. Datos'!O112)-1)/2</f>
        <v>126</v>
      </c>
      <c r="I112">
        <f>RANK('1. Datos'!P112,'1. Datos'!P$2:P$172,1)+(COUNTIF('1. Datos'!P$2:P$172,'1. Datos'!P112)-1)/2</f>
        <v>122</v>
      </c>
      <c r="J112">
        <f>RANK('1. Datos'!Q112,'1. Datos'!Q$2:Q$172,1)+(COUNTIF('1. Datos'!Q$2:Q$172,'1. Datos'!Q112)-1)/2</f>
        <v>38.5</v>
      </c>
      <c r="K112">
        <f>RANK('1. Datos'!R112,'1. Datos'!R$2:R$172,1)+(COUNTIF('1. Datos'!R$2:R$172,'1. Datos'!R112)-1)/2</f>
        <v>118.5</v>
      </c>
      <c r="L112">
        <f>RANK('1. Datos'!S112,'1. Datos'!S$2:S$172,1)+(COUNTIF('1. Datos'!S$2:S$172,'1. Datos'!S112)-1)/2</f>
        <v>51.5</v>
      </c>
    </row>
    <row r="113" spans="1:12" ht="15" customHeight="1" x14ac:dyDescent="0.45">
      <c r="A113">
        <f>RANK('1. Datos'!H113,'1. Datos'!H$2:H$172,1)+(COUNTIF('1. Datos'!H$2:H$172,'1. Datos'!H113)-1)/2</f>
        <v>41.5</v>
      </c>
      <c r="B113">
        <f>RANK('1. Datos'!I113,'1. Datos'!I$2:I$172,1)+(COUNTIF('1. Datos'!I$2:I$172,'1. Datos'!I113)-1)/2</f>
        <v>138</v>
      </c>
      <c r="C113">
        <f>RANK('1. Datos'!J113,'1. Datos'!J$2:J$172,1)+(COUNTIF('1. Datos'!J$2:J$172,'1. Datos'!J113)-1)/2</f>
        <v>62</v>
      </c>
      <c r="D113">
        <f>RANK('1. Datos'!K113,'1. Datos'!K$2:K$172,1)+(COUNTIF('1. Datos'!K$2:K$172,'1. Datos'!K113)-1)/2</f>
        <v>11</v>
      </c>
      <c r="E113">
        <f>RANK('1. Datos'!L113,'1. Datos'!L$2:L$172,1)+(COUNTIF('1. Datos'!L$2:L$172,'1. Datos'!L113)-1)/2</f>
        <v>55.5</v>
      </c>
      <c r="F113">
        <f>RANK('1. Datos'!M113,'1. Datos'!M$2:M$172,1)+(COUNTIF('1. Datos'!M$2:M$172,'1. Datos'!M113)-1)/2</f>
        <v>57.5</v>
      </c>
      <c r="G113">
        <f>RANK('1. Datos'!N113,'1. Datos'!N$2:N$172,1)+(COUNTIF('1. Datos'!N$2:N$172,'1. Datos'!N113)-1)/2</f>
        <v>127</v>
      </c>
      <c r="H113">
        <f>RANK('1. Datos'!O113,'1. Datos'!O$2:O$172,1)+(COUNTIF('1. Datos'!O$2:O$172,'1. Datos'!O113)-1)/2</f>
        <v>49</v>
      </c>
      <c r="I113">
        <f>RANK('1. Datos'!P113,'1. Datos'!P$2:P$172,1)+(COUNTIF('1. Datos'!P$2:P$172,'1. Datos'!P113)-1)/2</f>
        <v>41.5</v>
      </c>
      <c r="J113">
        <f>RANK('1. Datos'!Q113,'1. Datos'!Q$2:Q$172,1)+(COUNTIF('1. Datos'!Q$2:Q$172,'1. Datos'!Q113)-1)/2</f>
        <v>123</v>
      </c>
      <c r="K113">
        <f>RANK('1. Datos'!R113,'1. Datos'!R$2:R$172,1)+(COUNTIF('1. Datos'!R$2:R$172,'1. Datos'!R113)-1)/2</f>
        <v>33.5</v>
      </c>
      <c r="L113">
        <f>RANK('1. Datos'!S113,'1. Datos'!S$2:S$172,1)+(COUNTIF('1. Datos'!S$2:S$172,'1. Datos'!S113)-1)/2</f>
        <v>51.5</v>
      </c>
    </row>
    <row r="114" spans="1:12" ht="15" customHeight="1" x14ac:dyDescent="0.45">
      <c r="A114">
        <f>RANK('1. Datos'!H114,'1. Datos'!H$2:H$172,1)+(COUNTIF('1. Datos'!H$2:H$172,'1. Datos'!H114)-1)/2</f>
        <v>125</v>
      </c>
      <c r="B114">
        <f>RANK('1. Datos'!I114,'1. Datos'!I$2:I$172,1)+(COUNTIF('1. Datos'!I$2:I$172,'1. Datos'!I114)-1)/2</f>
        <v>138</v>
      </c>
      <c r="C114">
        <f>RANK('1. Datos'!J114,'1. Datos'!J$2:J$172,1)+(COUNTIF('1. Datos'!J$2:J$172,'1. Datos'!J114)-1)/2</f>
        <v>62</v>
      </c>
      <c r="D114">
        <f>RANK('1. Datos'!K114,'1. Datos'!K$2:K$172,1)+(COUNTIF('1. Datos'!K$2:K$172,'1. Datos'!K114)-1)/2</f>
        <v>39</v>
      </c>
      <c r="E114">
        <f>RANK('1. Datos'!L114,'1. Datos'!L$2:L$172,1)+(COUNTIF('1. Datos'!L$2:L$172,'1. Datos'!L114)-1)/2</f>
        <v>132</v>
      </c>
      <c r="F114">
        <f>RANK('1. Datos'!M114,'1. Datos'!M$2:M$172,1)+(COUNTIF('1. Datos'!M$2:M$172,'1. Datos'!M114)-1)/2</f>
        <v>139.5</v>
      </c>
      <c r="G114">
        <f>RANK('1. Datos'!N114,'1. Datos'!N$2:N$172,1)+(COUNTIF('1. Datos'!N$2:N$172,'1. Datos'!N114)-1)/2</f>
        <v>53</v>
      </c>
      <c r="H114">
        <f>RANK('1. Datos'!O114,'1. Datos'!O$2:O$172,1)+(COUNTIF('1. Datos'!O$2:O$172,'1. Datos'!O114)-1)/2</f>
        <v>126</v>
      </c>
      <c r="I114">
        <f>RANK('1. Datos'!P114,'1. Datos'!P$2:P$172,1)+(COUNTIF('1. Datos'!P$2:P$172,'1. Datos'!P114)-1)/2</f>
        <v>41.5</v>
      </c>
      <c r="J114">
        <f>RANK('1. Datos'!Q114,'1. Datos'!Q$2:Q$172,1)+(COUNTIF('1. Datos'!Q$2:Q$172,'1. Datos'!Q114)-1)/2</f>
        <v>123</v>
      </c>
      <c r="K114">
        <f>RANK('1. Datos'!R114,'1. Datos'!R$2:R$172,1)+(COUNTIF('1. Datos'!R$2:R$172,'1. Datos'!R114)-1)/2</f>
        <v>33.5</v>
      </c>
      <c r="L114">
        <f>RANK('1. Datos'!S114,'1. Datos'!S$2:S$172,1)+(COUNTIF('1. Datos'!S$2:S$172,'1. Datos'!S114)-1)/2</f>
        <v>124.5</v>
      </c>
    </row>
    <row r="115" spans="1:12" ht="15" customHeight="1" x14ac:dyDescent="0.45">
      <c r="A115">
        <f>RANK('1. Datos'!H115,'1. Datos'!H$2:H$172,1)+(COUNTIF('1. Datos'!H$2:H$172,'1. Datos'!H115)-1)/2</f>
        <v>125</v>
      </c>
      <c r="B115">
        <f>RANK('1. Datos'!I115,'1. Datos'!I$2:I$172,1)+(COUNTIF('1. Datos'!I$2:I$172,'1. Datos'!I115)-1)/2</f>
        <v>138</v>
      </c>
      <c r="C115">
        <f>RANK('1. Datos'!J115,'1. Datos'!J$2:J$172,1)+(COUNTIF('1. Datos'!J$2:J$172,'1. Datos'!J115)-1)/2</f>
        <v>62</v>
      </c>
      <c r="D115">
        <f>RANK('1. Datos'!K115,'1. Datos'!K$2:K$172,1)+(COUNTIF('1. Datos'!K$2:K$172,'1. Datos'!K115)-1)/2</f>
        <v>39</v>
      </c>
      <c r="E115">
        <f>RANK('1. Datos'!L115,'1. Datos'!L$2:L$172,1)+(COUNTIF('1. Datos'!L$2:L$172,'1. Datos'!L115)-1)/2</f>
        <v>55.5</v>
      </c>
      <c r="F115">
        <f>RANK('1. Datos'!M115,'1. Datos'!M$2:M$172,1)+(COUNTIF('1. Datos'!M$2:M$172,'1. Datos'!M115)-1)/2</f>
        <v>57.5</v>
      </c>
      <c r="G115">
        <f>RANK('1. Datos'!N115,'1. Datos'!N$2:N$172,1)+(COUNTIF('1. Datos'!N$2:N$172,'1. Datos'!N115)-1)/2</f>
        <v>127</v>
      </c>
      <c r="H115">
        <f>RANK('1. Datos'!O115,'1. Datos'!O$2:O$172,1)+(COUNTIF('1. Datos'!O$2:O$172,'1. Datos'!O115)-1)/2</f>
        <v>49</v>
      </c>
      <c r="I115">
        <f>RANK('1. Datos'!P115,'1. Datos'!P$2:P$172,1)+(COUNTIF('1. Datos'!P$2:P$172,'1. Datos'!P115)-1)/2</f>
        <v>122</v>
      </c>
      <c r="J115">
        <f>RANK('1. Datos'!Q115,'1. Datos'!Q$2:Q$172,1)+(COUNTIF('1. Datos'!Q$2:Q$172,'1. Datos'!Q115)-1)/2</f>
        <v>123</v>
      </c>
      <c r="K115">
        <f>RANK('1. Datos'!R115,'1. Datos'!R$2:R$172,1)+(COUNTIF('1. Datos'!R$2:R$172,'1. Datos'!R115)-1)/2</f>
        <v>118.5</v>
      </c>
      <c r="L115">
        <f>RANK('1. Datos'!S115,'1. Datos'!S$2:S$172,1)+(COUNTIF('1. Datos'!S$2:S$172,'1. Datos'!S115)-1)/2</f>
        <v>124.5</v>
      </c>
    </row>
    <row r="116" spans="1:12" ht="15" customHeight="1" x14ac:dyDescent="0.45">
      <c r="A116">
        <f>RANK('1. Datos'!H116,'1. Datos'!H$2:H$172,1)+(COUNTIF('1. Datos'!H$2:H$172,'1. Datos'!H116)-1)/2</f>
        <v>41.5</v>
      </c>
      <c r="B116">
        <f>RANK('1. Datos'!I116,'1. Datos'!I$2:I$172,1)+(COUNTIF('1. Datos'!I$2:I$172,'1. Datos'!I116)-1)/2</f>
        <v>57.5</v>
      </c>
      <c r="C116">
        <f>RANK('1. Datos'!J116,'1. Datos'!J$2:J$172,1)+(COUNTIF('1. Datos'!J$2:J$172,'1. Datos'!J116)-1)/2</f>
        <v>137.5</v>
      </c>
      <c r="D116">
        <f>RANK('1. Datos'!K116,'1. Datos'!K$2:K$172,1)+(COUNTIF('1. Datos'!K$2:K$172,'1. Datos'!K116)-1)/2</f>
        <v>149</v>
      </c>
      <c r="E116">
        <f>RANK('1. Datos'!L116,'1. Datos'!L$2:L$172,1)+(COUNTIF('1. Datos'!L$2:L$172,'1. Datos'!L116)-1)/2</f>
        <v>132</v>
      </c>
      <c r="F116">
        <f>RANK('1. Datos'!M116,'1. Datos'!M$2:M$172,1)+(COUNTIF('1. Datos'!M$2:M$172,'1. Datos'!M116)-1)/2</f>
        <v>139.5</v>
      </c>
      <c r="G116">
        <f>RANK('1. Datos'!N116,'1. Datos'!N$2:N$172,1)+(COUNTIF('1. Datos'!N$2:N$172,'1. Datos'!N116)-1)/2</f>
        <v>4.5</v>
      </c>
      <c r="H116">
        <f>RANK('1. Datos'!O116,'1. Datos'!O$2:O$172,1)+(COUNTIF('1. Datos'!O$2:O$172,'1. Datos'!O116)-1)/2</f>
        <v>49</v>
      </c>
      <c r="I116">
        <f>RANK('1. Datos'!P116,'1. Datos'!P$2:P$172,1)+(COUNTIF('1. Datos'!P$2:P$172,'1. Datos'!P116)-1)/2</f>
        <v>41.5</v>
      </c>
      <c r="J116">
        <f>RANK('1. Datos'!Q116,'1. Datos'!Q$2:Q$172,1)+(COUNTIF('1. Datos'!Q$2:Q$172,'1. Datos'!Q116)-1)/2</f>
        <v>123</v>
      </c>
      <c r="K116">
        <f>RANK('1. Datos'!R116,'1. Datos'!R$2:R$172,1)+(COUNTIF('1. Datos'!R$2:R$172,'1. Datos'!R116)-1)/2</f>
        <v>33.5</v>
      </c>
      <c r="L116">
        <f>RANK('1. Datos'!S116,'1. Datos'!S$2:S$172,1)+(COUNTIF('1. Datos'!S$2:S$172,'1. Datos'!S116)-1)/2</f>
        <v>124.5</v>
      </c>
    </row>
    <row r="117" spans="1:12" ht="15" customHeight="1" x14ac:dyDescent="0.45">
      <c r="A117">
        <f>RANK('1. Datos'!H117,'1. Datos'!H$2:H$172,1)+(COUNTIF('1. Datos'!H$2:H$172,'1. Datos'!H117)-1)/2</f>
        <v>125</v>
      </c>
      <c r="B117">
        <f>RANK('1. Datos'!I117,'1. Datos'!I$2:I$172,1)+(COUNTIF('1. Datos'!I$2:I$172,'1. Datos'!I117)-1)/2</f>
        <v>138</v>
      </c>
      <c r="C117">
        <f>RANK('1. Datos'!J117,'1. Datos'!J$2:J$172,1)+(COUNTIF('1. Datos'!J$2:J$172,'1. Datos'!J117)-1)/2</f>
        <v>62</v>
      </c>
      <c r="D117">
        <f>RANK('1. Datos'!K117,'1. Datos'!K$2:K$172,1)+(COUNTIF('1. Datos'!K$2:K$172,'1. Datos'!K117)-1)/2</f>
        <v>92.5</v>
      </c>
      <c r="E117">
        <f>RANK('1. Datos'!L117,'1. Datos'!L$2:L$172,1)+(COUNTIF('1. Datos'!L$2:L$172,'1. Datos'!L117)-1)/2</f>
        <v>55.5</v>
      </c>
      <c r="F117">
        <f>RANK('1. Datos'!M117,'1. Datos'!M$2:M$172,1)+(COUNTIF('1. Datos'!M$2:M$172,'1. Datos'!M117)-1)/2</f>
        <v>139.5</v>
      </c>
      <c r="G117">
        <f>RANK('1. Datos'!N117,'1. Datos'!N$2:N$172,1)+(COUNTIF('1. Datos'!N$2:N$172,'1. Datos'!N117)-1)/2</f>
        <v>127</v>
      </c>
      <c r="H117">
        <f>RANK('1. Datos'!O117,'1. Datos'!O$2:O$172,1)+(COUNTIF('1. Datos'!O$2:O$172,'1. Datos'!O117)-1)/2</f>
        <v>126</v>
      </c>
      <c r="I117">
        <f>RANK('1. Datos'!P117,'1. Datos'!P$2:P$172,1)+(COUNTIF('1. Datos'!P$2:P$172,'1. Datos'!P117)-1)/2</f>
        <v>41.5</v>
      </c>
      <c r="J117">
        <f>RANK('1. Datos'!Q117,'1. Datos'!Q$2:Q$172,1)+(COUNTIF('1. Datos'!Q$2:Q$172,'1. Datos'!Q117)-1)/2</f>
        <v>123</v>
      </c>
      <c r="K117">
        <f>RANK('1. Datos'!R117,'1. Datos'!R$2:R$172,1)+(COUNTIF('1. Datos'!R$2:R$172,'1. Datos'!R117)-1)/2</f>
        <v>33.5</v>
      </c>
      <c r="L117">
        <f>RANK('1. Datos'!S117,'1. Datos'!S$2:S$172,1)+(COUNTIF('1. Datos'!S$2:S$172,'1. Datos'!S117)-1)/2</f>
        <v>124.5</v>
      </c>
    </row>
    <row r="118" spans="1:12" ht="15" customHeight="1" x14ac:dyDescent="0.45">
      <c r="A118">
        <f>RANK('1. Datos'!H118,'1. Datos'!H$2:H$172,1)+(COUNTIF('1. Datos'!H$2:H$172,'1. Datos'!H118)-1)/2</f>
        <v>125</v>
      </c>
      <c r="B118">
        <f>RANK('1. Datos'!I118,'1. Datos'!I$2:I$172,1)+(COUNTIF('1. Datos'!I$2:I$172,'1. Datos'!I118)-1)/2</f>
        <v>138</v>
      </c>
      <c r="C118">
        <f>RANK('1. Datos'!J118,'1. Datos'!J$2:J$172,1)+(COUNTIF('1. Datos'!J$2:J$172,'1. Datos'!J118)-1)/2</f>
        <v>62</v>
      </c>
      <c r="D118">
        <f>RANK('1. Datos'!K118,'1. Datos'!K$2:K$172,1)+(COUNTIF('1. Datos'!K$2:K$172,'1. Datos'!K118)-1)/2</f>
        <v>92.5</v>
      </c>
      <c r="E118">
        <f>RANK('1. Datos'!L118,'1. Datos'!L$2:L$172,1)+(COUNTIF('1. Datos'!L$2:L$172,'1. Datos'!L118)-1)/2</f>
        <v>132</v>
      </c>
      <c r="F118">
        <f>RANK('1. Datos'!M118,'1. Datos'!M$2:M$172,1)+(COUNTIF('1. Datos'!M$2:M$172,'1. Datos'!M118)-1)/2</f>
        <v>139.5</v>
      </c>
      <c r="G118">
        <f>RANK('1. Datos'!N118,'1. Datos'!N$2:N$172,1)+(COUNTIF('1. Datos'!N$2:N$172,'1. Datos'!N118)-1)/2</f>
        <v>127</v>
      </c>
      <c r="H118">
        <f>RANK('1. Datos'!O118,'1. Datos'!O$2:O$172,1)+(COUNTIF('1. Datos'!O$2:O$172,'1. Datos'!O118)-1)/2</f>
        <v>126</v>
      </c>
      <c r="I118">
        <f>RANK('1. Datos'!P118,'1. Datos'!P$2:P$172,1)+(COUNTIF('1. Datos'!P$2:P$172,'1. Datos'!P118)-1)/2</f>
        <v>41.5</v>
      </c>
      <c r="J118">
        <f>RANK('1. Datos'!Q118,'1. Datos'!Q$2:Q$172,1)+(COUNTIF('1. Datos'!Q$2:Q$172,'1. Datos'!Q118)-1)/2</f>
        <v>123</v>
      </c>
      <c r="K118">
        <f>RANK('1. Datos'!R118,'1. Datos'!R$2:R$172,1)+(COUNTIF('1. Datos'!R$2:R$172,'1. Datos'!R118)-1)/2</f>
        <v>33.5</v>
      </c>
      <c r="L118">
        <f>RANK('1. Datos'!S118,'1. Datos'!S$2:S$172,1)+(COUNTIF('1. Datos'!S$2:S$172,'1. Datos'!S118)-1)/2</f>
        <v>124.5</v>
      </c>
    </row>
    <row r="119" spans="1:12" ht="15" customHeight="1" x14ac:dyDescent="0.45">
      <c r="A119">
        <f>RANK('1. Datos'!H119,'1. Datos'!H$2:H$172,1)+(COUNTIF('1. Datos'!H$2:H$172,'1. Datos'!H119)-1)/2</f>
        <v>41.5</v>
      </c>
      <c r="B119">
        <f>RANK('1. Datos'!I119,'1. Datos'!I$2:I$172,1)+(COUNTIF('1. Datos'!I$2:I$172,'1. Datos'!I119)-1)/2</f>
        <v>57.5</v>
      </c>
      <c r="C119">
        <f>RANK('1. Datos'!J119,'1. Datos'!J$2:J$172,1)+(COUNTIF('1. Datos'!J$2:J$172,'1. Datos'!J119)-1)/2</f>
        <v>10.5</v>
      </c>
      <c r="D119">
        <f>RANK('1. Datos'!K119,'1. Datos'!K$2:K$172,1)+(COUNTIF('1. Datos'!K$2:K$172,'1. Datos'!K119)-1)/2</f>
        <v>92.5</v>
      </c>
      <c r="E119">
        <f>RANK('1. Datos'!L119,'1. Datos'!L$2:L$172,1)+(COUNTIF('1. Datos'!L$2:L$172,'1. Datos'!L119)-1)/2</f>
        <v>55.5</v>
      </c>
      <c r="F119">
        <f>RANK('1. Datos'!M119,'1. Datos'!M$2:M$172,1)+(COUNTIF('1. Datos'!M$2:M$172,'1. Datos'!M119)-1)/2</f>
        <v>57.5</v>
      </c>
      <c r="G119">
        <f>RANK('1. Datos'!N119,'1. Datos'!N$2:N$172,1)+(COUNTIF('1. Datos'!N$2:N$172,'1. Datos'!N119)-1)/2</f>
        <v>4.5</v>
      </c>
      <c r="H119">
        <f>RANK('1. Datos'!O119,'1. Datos'!O$2:O$172,1)+(COUNTIF('1. Datos'!O$2:O$172,'1. Datos'!O119)-1)/2</f>
        <v>49</v>
      </c>
      <c r="I119">
        <f>RANK('1. Datos'!P119,'1. Datos'!P$2:P$172,1)+(COUNTIF('1. Datos'!P$2:P$172,'1. Datos'!P119)-1)/2</f>
        <v>5.5</v>
      </c>
      <c r="J119">
        <f>RANK('1. Datos'!Q119,'1. Datos'!Q$2:Q$172,1)+(COUNTIF('1. Datos'!Q$2:Q$172,'1. Datos'!Q119)-1)/2</f>
        <v>38.5</v>
      </c>
      <c r="K119">
        <f>RANK('1. Datos'!R119,'1. Datos'!R$2:R$172,1)+(COUNTIF('1. Datos'!R$2:R$172,'1. Datos'!R119)-1)/2</f>
        <v>118.5</v>
      </c>
      <c r="L119">
        <f>RANK('1. Datos'!S119,'1. Datos'!S$2:S$172,1)+(COUNTIF('1. Datos'!S$2:S$172,'1. Datos'!S119)-1)/2</f>
        <v>124.5</v>
      </c>
    </row>
    <row r="120" spans="1:12" ht="15" customHeight="1" x14ac:dyDescent="0.45">
      <c r="A120">
        <f>RANK('1. Datos'!H120,'1. Datos'!H$2:H$172,1)+(COUNTIF('1. Datos'!H$2:H$172,'1. Datos'!H120)-1)/2</f>
        <v>125</v>
      </c>
      <c r="B120">
        <f>RANK('1. Datos'!I120,'1. Datos'!I$2:I$172,1)+(COUNTIF('1. Datos'!I$2:I$172,'1. Datos'!I120)-1)/2</f>
        <v>57.5</v>
      </c>
      <c r="C120">
        <f>RANK('1. Datos'!J120,'1. Datos'!J$2:J$172,1)+(COUNTIF('1. Datos'!J$2:J$172,'1. Datos'!J120)-1)/2</f>
        <v>137.5</v>
      </c>
      <c r="D120">
        <f>RANK('1. Datos'!K120,'1. Datos'!K$2:K$172,1)+(COUNTIF('1. Datos'!K$2:K$172,'1. Datos'!K120)-1)/2</f>
        <v>92.5</v>
      </c>
      <c r="E120">
        <f>RANK('1. Datos'!L120,'1. Datos'!L$2:L$172,1)+(COUNTIF('1. Datos'!L$2:L$172,'1. Datos'!L120)-1)/2</f>
        <v>55.5</v>
      </c>
      <c r="F120">
        <f>RANK('1. Datos'!M120,'1. Datos'!M$2:M$172,1)+(COUNTIF('1. Datos'!M$2:M$172,'1. Datos'!M120)-1)/2</f>
        <v>57.5</v>
      </c>
      <c r="G120">
        <f>RANK('1. Datos'!N120,'1. Datos'!N$2:N$172,1)+(COUNTIF('1. Datos'!N$2:N$172,'1. Datos'!N120)-1)/2</f>
        <v>127</v>
      </c>
      <c r="H120">
        <f>RANK('1. Datos'!O120,'1. Datos'!O$2:O$172,1)+(COUNTIF('1. Datos'!O$2:O$172,'1. Datos'!O120)-1)/2</f>
        <v>126</v>
      </c>
      <c r="I120">
        <f>RANK('1. Datos'!P120,'1. Datos'!P$2:P$172,1)+(COUNTIF('1. Datos'!P$2:P$172,'1. Datos'!P120)-1)/2</f>
        <v>122</v>
      </c>
      <c r="J120">
        <f>RANK('1. Datos'!Q120,'1. Datos'!Q$2:Q$172,1)+(COUNTIF('1. Datos'!Q$2:Q$172,'1. Datos'!Q120)-1)/2</f>
        <v>38.5</v>
      </c>
      <c r="K120">
        <f>RANK('1. Datos'!R120,'1. Datos'!R$2:R$172,1)+(COUNTIF('1. Datos'!R$2:R$172,'1. Datos'!R120)-1)/2</f>
        <v>118.5</v>
      </c>
      <c r="L120">
        <f>RANK('1. Datos'!S120,'1. Datos'!S$2:S$172,1)+(COUNTIF('1. Datos'!S$2:S$172,'1. Datos'!S120)-1)/2</f>
        <v>124.5</v>
      </c>
    </row>
    <row r="121" spans="1:12" ht="15" customHeight="1" x14ac:dyDescent="0.45">
      <c r="A121">
        <f>RANK('1. Datos'!H121,'1. Datos'!H$2:H$172,1)+(COUNTIF('1. Datos'!H$2:H$172,'1. Datos'!H121)-1)/2</f>
        <v>125</v>
      </c>
      <c r="B121">
        <f>RANK('1. Datos'!I121,'1. Datos'!I$2:I$172,1)+(COUNTIF('1. Datos'!I$2:I$172,'1. Datos'!I121)-1)/2</f>
        <v>57.5</v>
      </c>
      <c r="C121">
        <f>RANK('1. Datos'!J121,'1. Datos'!J$2:J$172,1)+(COUNTIF('1. Datos'!J$2:J$172,'1. Datos'!J121)-1)/2</f>
        <v>62</v>
      </c>
      <c r="D121">
        <f>RANK('1. Datos'!K121,'1. Datos'!K$2:K$172,1)+(COUNTIF('1. Datos'!K$2:K$172,'1. Datos'!K121)-1)/2</f>
        <v>149</v>
      </c>
      <c r="E121">
        <f>RANK('1. Datos'!L121,'1. Datos'!L$2:L$172,1)+(COUNTIF('1. Datos'!L$2:L$172,'1. Datos'!L121)-1)/2</f>
        <v>132</v>
      </c>
      <c r="F121">
        <f>RANK('1. Datos'!M121,'1. Datos'!M$2:M$172,1)+(COUNTIF('1. Datos'!M$2:M$172,'1. Datos'!M121)-1)/2</f>
        <v>57.5</v>
      </c>
      <c r="G121">
        <f>RANK('1. Datos'!N121,'1. Datos'!N$2:N$172,1)+(COUNTIF('1. Datos'!N$2:N$172,'1. Datos'!N121)-1)/2</f>
        <v>127</v>
      </c>
      <c r="H121">
        <f>RANK('1. Datos'!O121,'1. Datos'!O$2:O$172,1)+(COUNTIF('1. Datos'!O$2:O$172,'1. Datos'!O121)-1)/2</f>
        <v>49</v>
      </c>
      <c r="I121">
        <f>RANK('1. Datos'!P121,'1. Datos'!P$2:P$172,1)+(COUNTIF('1. Datos'!P$2:P$172,'1. Datos'!P121)-1)/2</f>
        <v>122</v>
      </c>
      <c r="J121">
        <f>RANK('1. Datos'!Q121,'1. Datos'!Q$2:Q$172,1)+(COUNTIF('1. Datos'!Q$2:Q$172,'1. Datos'!Q121)-1)/2</f>
        <v>123</v>
      </c>
      <c r="K121">
        <f>RANK('1. Datos'!R121,'1. Datos'!R$2:R$172,1)+(COUNTIF('1. Datos'!R$2:R$172,'1. Datos'!R121)-1)/2</f>
        <v>33.5</v>
      </c>
      <c r="L121">
        <f>RANK('1. Datos'!S121,'1. Datos'!S$2:S$172,1)+(COUNTIF('1. Datos'!S$2:S$172,'1. Datos'!S121)-1)/2</f>
        <v>124.5</v>
      </c>
    </row>
    <row r="122" spans="1:12" ht="15" customHeight="1" x14ac:dyDescent="0.45">
      <c r="A122">
        <f>RANK('1. Datos'!H122,'1. Datos'!H$2:H$172,1)+(COUNTIF('1. Datos'!H$2:H$172,'1. Datos'!H122)-1)/2</f>
        <v>41.5</v>
      </c>
      <c r="B122">
        <f>RANK('1. Datos'!I122,'1. Datos'!I$2:I$172,1)+(COUNTIF('1. Datos'!I$2:I$172,'1. Datos'!I122)-1)/2</f>
        <v>57.5</v>
      </c>
      <c r="C122">
        <f>RANK('1. Datos'!J122,'1. Datos'!J$2:J$172,1)+(COUNTIF('1. Datos'!J$2:J$172,'1. Datos'!J122)-1)/2</f>
        <v>62</v>
      </c>
      <c r="D122">
        <f>RANK('1. Datos'!K122,'1. Datos'!K$2:K$172,1)+(COUNTIF('1. Datos'!K$2:K$172,'1. Datos'!K122)-1)/2</f>
        <v>149</v>
      </c>
      <c r="E122">
        <f>RANK('1. Datos'!L122,'1. Datos'!L$2:L$172,1)+(COUNTIF('1. Datos'!L$2:L$172,'1. Datos'!L122)-1)/2</f>
        <v>132</v>
      </c>
      <c r="F122">
        <f>RANK('1. Datos'!M122,'1. Datos'!M$2:M$172,1)+(COUNTIF('1. Datos'!M$2:M$172,'1. Datos'!M122)-1)/2</f>
        <v>57.5</v>
      </c>
      <c r="G122">
        <f>RANK('1. Datos'!N122,'1. Datos'!N$2:N$172,1)+(COUNTIF('1. Datos'!N$2:N$172,'1. Datos'!N122)-1)/2</f>
        <v>53</v>
      </c>
      <c r="H122">
        <f>RANK('1. Datos'!O122,'1. Datos'!O$2:O$172,1)+(COUNTIF('1. Datos'!O$2:O$172,'1. Datos'!O122)-1)/2</f>
        <v>126</v>
      </c>
      <c r="I122">
        <f>RANK('1. Datos'!P122,'1. Datos'!P$2:P$172,1)+(COUNTIF('1. Datos'!P$2:P$172,'1. Datos'!P122)-1)/2</f>
        <v>122</v>
      </c>
      <c r="J122">
        <f>RANK('1. Datos'!Q122,'1. Datos'!Q$2:Q$172,1)+(COUNTIF('1. Datos'!Q$2:Q$172,'1. Datos'!Q122)-1)/2</f>
        <v>123</v>
      </c>
      <c r="K122">
        <f>RANK('1. Datos'!R122,'1. Datos'!R$2:R$172,1)+(COUNTIF('1. Datos'!R$2:R$172,'1. Datos'!R122)-1)/2</f>
        <v>118.5</v>
      </c>
      <c r="L122">
        <f>RANK('1. Datos'!S122,'1. Datos'!S$2:S$172,1)+(COUNTIF('1. Datos'!S$2:S$172,'1. Datos'!S122)-1)/2</f>
        <v>51.5</v>
      </c>
    </row>
    <row r="123" spans="1:12" ht="15" customHeight="1" x14ac:dyDescent="0.45">
      <c r="A123">
        <f>RANK('1. Datos'!H123,'1. Datos'!H$2:H$172,1)+(COUNTIF('1. Datos'!H$2:H$172,'1. Datos'!H123)-1)/2</f>
        <v>41.5</v>
      </c>
      <c r="B123">
        <f>RANK('1. Datos'!I123,'1. Datos'!I$2:I$172,1)+(COUNTIF('1. Datos'!I$2:I$172,'1. Datos'!I123)-1)/2</f>
        <v>57.5</v>
      </c>
      <c r="C123">
        <f>RANK('1. Datos'!J123,'1. Datos'!J$2:J$172,1)+(COUNTIF('1. Datos'!J$2:J$172,'1. Datos'!J123)-1)/2</f>
        <v>137.5</v>
      </c>
      <c r="D123">
        <f>RANK('1. Datos'!K123,'1. Datos'!K$2:K$172,1)+(COUNTIF('1. Datos'!K$2:K$172,'1. Datos'!K123)-1)/2</f>
        <v>149</v>
      </c>
      <c r="E123">
        <f>RANK('1. Datos'!L123,'1. Datos'!L$2:L$172,1)+(COUNTIF('1. Datos'!L$2:L$172,'1. Datos'!L123)-1)/2</f>
        <v>132</v>
      </c>
      <c r="F123">
        <f>RANK('1. Datos'!M123,'1. Datos'!M$2:M$172,1)+(COUNTIF('1. Datos'!M$2:M$172,'1. Datos'!M123)-1)/2</f>
        <v>57.5</v>
      </c>
      <c r="G123">
        <f>RANK('1. Datos'!N123,'1. Datos'!N$2:N$172,1)+(COUNTIF('1. Datos'!N$2:N$172,'1. Datos'!N123)-1)/2</f>
        <v>127</v>
      </c>
      <c r="H123">
        <f>RANK('1. Datos'!O123,'1. Datos'!O$2:O$172,1)+(COUNTIF('1. Datos'!O$2:O$172,'1. Datos'!O123)-1)/2</f>
        <v>126</v>
      </c>
      <c r="I123">
        <f>RANK('1. Datos'!P123,'1. Datos'!P$2:P$172,1)+(COUNTIF('1. Datos'!P$2:P$172,'1. Datos'!P123)-1)/2</f>
        <v>122</v>
      </c>
      <c r="J123">
        <f>RANK('1. Datos'!Q123,'1. Datos'!Q$2:Q$172,1)+(COUNTIF('1. Datos'!Q$2:Q$172,'1. Datos'!Q123)-1)/2</f>
        <v>123</v>
      </c>
      <c r="K123">
        <f>RANK('1. Datos'!R123,'1. Datos'!R$2:R$172,1)+(COUNTIF('1. Datos'!R$2:R$172,'1. Datos'!R123)-1)/2</f>
        <v>118.5</v>
      </c>
      <c r="L123">
        <f>RANK('1. Datos'!S123,'1. Datos'!S$2:S$172,1)+(COUNTIF('1. Datos'!S$2:S$172,'1. Datos'!S123)-1)/2</f>
        <v>124.5</v>
      </c>
    </row>
    <row r="124" spans="1:12" ht="15" customHeight="1" x14ac:dyDescent="0.45">
      <c r="A124">
        <f>RANK('1. Datos'!H124,'1. Datos'!H$2:H$172,1)+(COUNTIF('1. Datos'!H$2:H$172,'1. Datos'!H124)-1)/2</f>
        <v>41.5</v>
      </c>
      <c r="B124">
        <f>RANK('1. Datos'!I124,'1. Datos'!I$2:I$172,1)+(COUNTIF('1. Datos'!I$2:I$172,'1. Datos'!I124)-1)/2</f>
        <v>57.5</v>
      </c>
      <c r="C124">
        <f>RANK('1. Datos'!J124,'1. Datos'!J$2:J$172,1)+(COUNTIF('1. Datos'!J$2:J$172,'1. Datos'!J124)-1)/2</f>
        <v>62</v>
      </c>
      <c r="D124">
        <f>RANK('1. Datos'!K124,'1. Datos'!K$2:K$172,1)+(COUNTIF('1. Datos'!K$2:K$172,'1. Datos'!K124)-1)/2</f>
        <v>92.5</v>
      </c>
      <c r="E124">
        <f>RANK('1. Datos'!L124,'1. Datos'!L$2:L$172,1)+(COUNTIF('1. Datos'!L$2:L$172,'1. Datos'!L124)-1)/2</f>
        <v>55.5</v>
      </c>
      <c r="F124">
        <f>RANK('1. Datos'!M124,'1. Datos'!M$2:M$172,1)+(COUNTIF('1. Datos'!M$2:M$172,'1. Datos'!M124)-1)/2</f>
        <v>4</v>
      </c>
      <c r="G124">
        <f>RANK('1. Datos'!N124,'1. Datos'!N$2:N$172,1)+(COUNTIF('1. Datos'!N$2:N$172,'1. Datos'!N124)-1)/2</f>
        <v>16</v>
      </c>
      <c r="H124">
        <f>RANK('1. Datos'!O124,'1. Datos'!O$2:O$172,1)+(COUNTIF('1. Datos'!O$2:O$172,'1. Datos'!O124)-1)/2</f>
        <v>9.5</v>
      </c>
      <c r="I124">
        <f>RANK('1. Datos'!P124,'1. Datos'!P$2:P$172,1)+(COUNTIF('1. Datos'!P$2:P$172,'1. Datos'!P124)-1)/2</f>
        <v>5.5</v>
      </c>
      <c r="J124">
        <f>RANK('1. Datos'!Q124,'1. Datos'!Q$2:Q$172,1)+(COUNTIF('1. Datos'!Q$2:Q$172,'1. Datos'!Q124)-1)/2</f>
        <v>38.5</v>
      </c>
      <c r="K124">
        <f>RANK('1. Datos'!R124,'1. Datos'!R$2:R$172,1)+(COUNTIF('1. Datos'!R$2:R$172,'1. Datos'!R124)-1)/2</f>
        <v>33.5</v>
      </c>
      <c r="L124">
        <f>RANK('1. Datos'!S124,'1. Datos'!S$2:S$172,1)+(COUNTIF('1. Datos'!S$2:S$172,'1. Datos'!S124)-1)/2</f>
        <v>51.5</v>
      </c>
    </row>
    <row r="125" spans="1:12" ht="15" customHeight="1" x14ac:dyDescent="0.45">
      <c r="A125">
        <f>RANK('1. Datos'!H125,'1. Datos'!H$2:H$172,1)+(COUNTIF('1. Datos'!H$2:H$172,'1. Datos'!H125)-1)/2</f>
        <v>125</v>
      </c>
      <c r="B125">
        <f>RANK('1. Datos'!I125,'1. Datos'!I$2:I$172,1)+(COUNTIF('1. Datos'!I$2:I$172,'1. Datos'!I125)-1)/2</f>
        <v>57.5</v>
      </c>
      <c r="C125">
        <f>RANK('1. Datos'!J125,'1. Datos'!J$2:J$172,1)+(COUNTIF('1. Datos'!J$2:J$172,'1. Datos'!J125)-1)/2</f>
        <v>62</v>
      </c>
      <c r="D125">
        <f>RANK('1. Datos'!K125,'1. Datos'!K$2:K$172,1)+(COUNTIF('1. Datos'!K$2:K$172,'1. Datos'!K125)-1)/2</f>
        <v>92.5</v>
      </c>
      <c r="E125">
        <f>RANK('1. Datos'!L125,'1. Datos'!L$2:L$172,1)+(COUNTIF('1. Datos'!L$2:L$172,'1. Datos'!L125)-1)/2</f>
        <v>132</v>
      </c>
      <c r="F125">
        <f>RANK('1. Datos'!M125,'1. Datos'!M$2:M$172,1)+(COUNTIF('1. Datos'!M$2:M$172,'1. Datos'!M125)-1)/2</f>
        <v>57.5</v>
      </c>
      <c r="G125">
        <f>RANK('1. Datos'!N125,'1. Datos'!N$2:N$172,1)+(COUNTIF('1. Datos'!N$2:N$172,'1. Datos'!N125)-1)/2</f>
        <v>127</v>
      </c>
      <c r="H125">
        <f>RANK('1. Datos'!O125,'1. Datos'!O$2:O$172,1)+(COUNTIF('1. Datos'!O$2:O$172,'1. Datos'!O125)-1)/2</f>
        <v>49</v>
      </c>
      <c r="I125">
        <f>RANK('1. Datos'!P125,'1. Datos'!P$2:P$172,1)+(COUNTIF('1. Datos'!P$2:P$172,'1. Datos'!P125)-1)/2</f>
        <v>122</v>
      </c>
      <c r="J125">
        <f>RANK('1. Datos'!Q125,'1. Datos'!Q$2:Q$172,1)+(COUNTIF('1. Datos'!Q$2:Q$172,'1. Datos'!Q125)-1)/2</f>
        <v>38.5</v>
      </c>
      <c r="K125">
        <f>RANK('1. Datos'!R125,'1. Datos'!R$2:R$172,1)+(COUNTIF('1. Datos'!R$2:R$172,'1. Datos'!R125)-1)/2</f>
        <v>118.5</v>
      </c>
      <c r="L125">
        <f>RANK('1. Datos'!S125,'1. Datos'!S$2:S$172,1)+(COUNTIF('1. Datos'!S$2:S$172,'1. Datos'!S125)-1)/2</f>
        <v>124.5</v>
      </c>
    </row>
    <row r="126" spans="1:12" ht="15" customHeight="1" x14ac:dyDescent="0.45">
      <c r="A126">
        <f>RANK('1. Datos'!H126,'1. Datos'!H$2:H$172,1)+(COUNTIF('1. Datos'!H$2:H$172,'1. Datos'!H126)-1)/2</f>
        <v>41.5</v>
      </c>
      <c r="B126">
        <f>RANK('1. Datos'!I126,'1. Datos'!I$2:I$172,1)+(COUNTIF('1. Datos'!I$2:I$172,'1. Datos'!I126)-1)/2</f>
        <v>57.5</v>
      </c>
      <c r="C126">
        <f>RANK('1. Datos'!J126,'1. Datos'!J$2:J$172,1)+(COUNTIF('1. Datos'!J$2:J$172,'1. Datos'!J126)-1)/2</f>
        <v>62</v>
      </c>
      <c r="D126">
        <f>RANK('1. Datos'!K126,'1. Datos'!K$2:K$172,1)+(COUNTIF('1. Datos'!K$2:K$172,'1. Datos'!K126)-1)/2</f>
        <v>92.5</v>
      </c>
      <c r="E126">
        <f>RANK('1. Datos'!L126,'1. Datos'!L$2:L$172,1)+(COUNTIF('1. Datos'!L$2:L$172,'1. Datos'!L126)-1)/2</f>
        <v>132</v>
      </c>
      <c r="F126">
        <f>RANK('1. Datos'!M126,'1. Datos'!M$2:M$172,1)+(COUNTIF('1. Datos'!M$2:M$172,'1. Datos'!M126)-1)/2</f>
        <v>57.5</v>
      </c>
      <c r="G126">
        <f>RANK('1. Datos'!N126,'1. Datos'!N$2:N$172,1)+(COUNTIF('1. Datos'!N$2:N$172,'1. Datos'!N126)-1)/2</f>
        <v>53</v>
      </c>
      <c r="H126">
        <f>RANK('1. Datos'!O126,'1. Datos'!O$2:O$172,1)+(COUNTIF('1. Datos'!O$2:O$172,'1. Datos'!O126)-1)/2</f>
        <v>49</v>
      </c>
      <c r="I126">
        <f>RANK('1. Datos'!P126,'1. Datos'!P$2:P$172,1)+(COUNTIF('1. Datos'!P$2:P$172,'1. Datos'!P126)-1)/2</f>
        <v>122</v>
      </c>
      <c r="J126">
        <f>RANK('1. Datos'!Q126,'1. Datos'!Q$2:Q$172,1)+(COUNTIF('1. Datos'!Q$2:Q$172,'1. Datos'!Q126)-1)/2</f>
        <v>38.5</v>
      </c>
      <c r="K126">
        <f>RANK('1. Datos'!R126,'1. Datos'!R$2:R$172,1)+(COUNTIF('1. Datos'!R$2:R$172,'1. Datos'!R126)-1)/2</f>
        <v>118.5</v>
      </c>
      <c r="L126">
        <f>RANK('1. Datos'!S126,'1. Datos'!S$2:S$172,1)+(COUNTIF('1. Datos'!S$2:S$172,'1. Datos'!S126)-1)/2</f>
        <v>51.5</v>
      </c>
    </row>
    <row r="127" spans="1:12" ht="15" customHeight="1" x14ac:dyDescent="0.45">
      <c r="A127">
        <f>RANK('1. Datos'!H127,'1. Datos'!H$2:H$172,1)+(COUNTIF('1. Datos'!H$2:H$172,'1. Datos'!H127)-1)/2</f>
        <v>41.5</v>
      </c>
      <c r="B127">
        <f>RANK('1. Datos'!I127,'1. Datos'!I$2:I$172,1)+(COUNTIF('1. Datos'!I$2:I$172,'1. Datos'!I127)-1)/2</f>
        <v>57.5</v>
      </c>
      <c r="C127">
        <f>RANK('1. Datos'!J127,'1. Datos'!J$2:J$172,1)+(COUNTIF('1. Datos'!J$2:J$172,'1. Datos'!J127)-1)/2</f>
        <v>10.5</v>
      </c>
      <c r="D127">
        <f>RANK('1. Datos'!K127,'1. Datos'!K$2:K$172,1)+(COUNTIF('1. Datos'!K$2:K$172,'1. Datos'!K127)-1)/2</f>
        <v>92.5</v>
      </c>
      <c r="E127">
        <f>RANK('1. Datos'!L127,'1. Datos'!L$2:L$172,1)+(COUNTIF('1. Datos'!L$2:L$172,'1. Datos'!L127)-1)/2</f>
        <v>55.5</v>
      </c>
      <c r="F127">
        <f>RANK('1. Datos'!M127,'1. Datos'!M$2:M$172,1)+(COUNTIF('1. Datos'!M$2:M$172,'1. Datos'!M127)-1)/2</f>
        <v>139.5</v>
      </c>
      <c r="G127">
        <f>RANK('1. Datos'!N127,'1. Datos'!N$2:N$172,1)+(COUNTIF('1. Datos'!N$2:N$172,'1. Datos'!N127)-1)/2</f>
        <v>127</v>
      </c>
      <c r="H127">
        <f>RANK('1. Datos'!O127,'1. Datos'!O$2:O$172,1)+(COUNTIF('1. Datos'!O$2:O$172,'1. Datos'!O127)-1)/2</f>
        <v>126</v>
      </c>
      <c r="I127">
        <f>RANK('1. Datos'!P127,'1. Datos'!P$2:P$172,1)+(COUNTIF('1. Datos'!P$2:P$172,'1. Datos'!P127)-1)/2</f>
        <v>41.5</v>
      </c>
      <c r="J127">
        <f>RANK('1. Datos'!Q127,'1. Datos'!Q$2:Q$172,1)+(COUNTIF('1. Datos'!Q$2:Q$172,'1. Datos'!Q127)-1)/2</f>
        <v>123</v>
      </c>
      <c r="K127">
        <f>RANK('1. Datos'!R127,'1. Datos'!R$2:R$172,1)+(COUNTIF('1. Datos'!R$2:R$172,'1. Datos'!R127)-1)/2</f>
        <v>118.5</v>
      </c>
      <c r="L127">
        <f>RANK('1. Datos'!S127,'1. Datos'!S$2:S$172,1)+(COUNTIF('1. Datos'!S$2:S$172,'1. Datos'!S127)-1)/2</f>
        <v>51.5</v>
      </c>
    </row>
    <row r="128" spans="1:12" ht="15" customHeight="1" x14ac:dyDescent="0.45">
      <c r="A128">
        <f>RANK('1. Datos'!H128,'1. Datos'!H$2:H$172,1)+(COUNTIF('1. Datos'!H$2:H$172,'1. Datos'!H128)-1)/2</f>
        <v>41.5</v>
      </c>
      <c r="B128">
        <f>RANK('1. Datos'!I128,'1. Datos'!I$2:I$172,1)+(COUNTIF('1. Datos'!I$2:I$172,'1. Datos'!I128)-1)/2</f>
        <v>138</v>
      </c>
      <c r="C128">
        <f>RANK('1. Datos'!J128,'1. Datos'!J$2:J$172,1)+(COUNTIF('1. Datos'!J$2:J$172,'1. Datos'!J128)-1)/2</f>
        <v>137.5</v>
      </c>
      <c r="D128">
        <f>RANK('1. Datos'!K128,'1. Datos'!K$2:K$172,1)+(COUNTIF('1. Datos'!K$2:K$172,'1. Datos'!K128)-1)/2</f>
        <v>39</v>
      </c>
      <c r="E128">
        <f>RANK('1. Datos'!L128,'1. Datos'!L$2:L$172,1)+(COUNTIF('1. Datos'!L$2:L$172,'1. Datos'!L128)-1)/2</f>
        <v>55.5</v>
      </c>
      <c r="F128">
        <f>RANK('1. Datos'!M128,'1. Datos'!M$2:M$172,1)+(COUNTIF('1. Datos'!M$2:M$172,'1. Datos'!M128)-1)/2</f>
        <v>57.5</v>
      </c>
      <c r="G128">
        <f>RANK('1. Datos'!N128,'1. Datos'!N$2:N$172,1)+(COUNTIF('1. Datos'!N$2:N$172,'1. Datos'!N128)-1)/2</f>
        <v>127</v>
      </c>
      <c r="H128">
        <f>RANK('1. Datos'!O128,'1. Datos'!O$2:O$172,1)+(COUNTIF('1. Datos'!O$2:O$172,'1. Datos'!O128)-1)/2</f>
        <v>49</v>
      </c>
      <c r="I128">
        <f>RANK('1. Datos'!P128,'1. Datos'!P$2:P$172,1)+(COUNTIF('1. Datos'!P$2:P$172,'1. Datos'!P128)-1)/2</f>
        <v>122</v>
      </c>
      <c r="J128">
        <f>RANK('1. Datos'!Q128,'1. Datos'!Q$2:Q$172,1)+(COUNTIF('1. Datos'!Q$2:Q$172,'1. Datos'!Q128)-1)/2</f>
        <v>123</v>
      </c>
      <c r="K128">
        <f>RANK('1. Datos'!R128,'1. Datos'!R$2:R$172,1)+(COUNTIF('1. Datos'!R$2:R$172,'1. Datos'!R128)-1)/2</f>
        <v>33.5</v>
      </c>
      <c r="L128">
        <f>RANK('1. Datos'!S128,'1. Datos'!S$2:S$172,1)+(COUNTIF('1. Datos'!S$2:S$172,'1. Datos'!S128)-1)/2</f>
        <v>124.5</v>
      </c>
    </row>
    <row r="129" spans="1:12" ht="15" customHeight="1" x14ac:dyDescent="0.45">
      <c r="A129">
        <f>RANK('1. Datos'!H129,'1. Datos'!H$2:H$172,1)+(COUNTIF('1. Datos'!H$2:H$172,'1. Datos'!H129)-1)/2</f>
        <v>125</v>
      </c>
      <c r="B129">
        <f>RANK('1. Datos'!I129,'1. Datos'!I$2:I$172,1)+(COUNTIF('1. Datos'!I$2:I$172,'1. Datos'!I129)-1)/2</f>
        <v>57.5</v>
      </c>
      <c r="C129">
        <f>RANK('1. Datos'!J129,'1. Datos'!J$2:J$172,1)+(COUNTIF('1. Datos'!J$2:J$172,'1. Datos'!J129)-1)/2</f>
        <v>137.5</v>
      </c>
      <c r="D129">
        <f>RANK('1. Datos'!K129,'1. Datos'!K$2:K$172,1)+(COUNTIF('1. Datos'!K$2:K$172,'1. Datos'!K129)-1)/2</f>
        <v>92.5</v>
      </c>
      <c r="E129">
        <f>RANK('1. Datos'!L129,'1. Datos'!L$2:L$172,1)+(COUNTIF('1. Datos'!L$2:L$172,'1. Datos'!L129)-1)/2</f>
        <v>132</v>
      </c>
      <c r="F129">
        <f>RANK('1. Datos'!M129,'1. Datos'!M$2:M$172,1)+(COUNTIF('1. Datos'!M$2:M$172,'1. Datos'!M129)-1)/2</f>
        <v>57.5</v>
      </c>
      <c r="G129">
        <f>RANK('1. Datos'!N129,'1. Datos'!N$2:N$172,1)+(COUNTIF('1. Datos'!N$2:N$172,'1. Datos'!N129)-1)/2</f>
        <v>4.5</v>
      </c>
      <c r="H129">
        <f>RANK('1. Datos'!O129,'1. Datos'!O$2:O$172,1)+(COUNTIF('1. Datos'!O$2:O$172,'1. Datos'!O129)-1)/2</f>
        <v>9.5</v>
      </c>
      <c r="I129">
        <f>RANK('1. Datos'!P129,'1. Datos'!P$2:P$172,1)+(COUNTIF('1. Datos'!P$2:P$172,'1. Datos'!P129)-1)/2</f>
        <v>122</v>
      </c>
      <c r="J129">
        <f>RANK('1. Datos'!Q129,'1. Datos'!Q$2:Q$172,1)+(COUNTIF('1. Datos'!Q$2:Q$172,'1. Datos'!Q129)-1)/2</f>
        <v>38.5</v>
      </c>
      <c r="K129">
        <f>RANK('1. Datos'!R129,'1. Datos'!R$2:R$172,1)+(COUNTIF('1. Datos'!R$2:R$172,'1. Datos'!R129)-1)/2</f>
        <v>118.5</v>
      </c>
      <c r="L129">
        <f>RANK('1. Datos'!S129,'1. Datos'!S$2:S$172,1)+(COUNTIF('1. Datos'!S$2:S$172,'1. Datos'!S129)-1)/2</f>
        <v>51.5</v>
      </c>
    </row>
    <row r="130" spans="1:12" ht="15" customHeight="1" x14ac:dyDescent="0.45">
      <c r="A130">
        <f>RANK('1. Datos'!H130,'1. Datos'!H$2:H$172,1)+(COUNTIF('1. Datos'!H$2:H$172,'1. Datos'!H130)-1)/2</f>
        <v>41.5</v>
      </c>
      <c r="B130">
        <f>RANK('1. Datos'!I130,'1. Datos'!I$2:I$172,1)+(COUNTIF('1. Datos'!I$2:I$172,'1. Datos'!I130)-1)/2</f>
        <v>57.5</v>
      </c>
      <c r="C130">
        <f>RANK('1. Datos'!J130,'1. Datos'!J$2:J$172,1)+(COUNTIF('1. Datos'!J$2:J$172,'1. Datos'!J130)-1)/2</f>
        <v>137.5</v>
      </c>
      <c r="D130">
        <f>RANK('1. Datos'!K130,'1. Datos'!K$2:K$172,1)+(COUNTIF('1. Datos'!K$2:K$172,'1. Datos'!K130)-1)/2</f>
        <v>149</v>
      </c>
      <c r="E130">
        <f>RANK('1. Datos'!L130,'1. Datos'!L$2:L$172,1)+(COUNTIF('1. Datos'!L$2:L$172,'1. Datos'!L130)-1)/2</f>
        <v>132</v>
      </c>
      <c r="F130">
        <f>RANK('1. Datos'!M130,'1. Datos'!M$2:M$172,1)+(COUNTIF('1. Datos'!M$2:M$172,'1. Datos'!M130)-1)/2</f>
        <v>57.5</v>
      </c>
      <c r="G130">
        <f>RANK('1. Datos'!N130,'1. Datos'!N$2:N$172,1)+(COUNTIF('1. Datos'!N$2:N$172,'1. Datos'!N130)-1)/2</f>
        <v>127</v>
      </c>
      <c r="H130">
        <f>RANK('1. Datos'!O130,'1. Datos'!O$2:O$172,1)+(COUNTIF('1. Datos'!O$2:O$172,'1. Datos'!O130)-1)/2</f>
        <v>49</v>
      </c>
      <c r="I130">
        <f>RANK('1. Datos'!P130,'1. Datos'!P$2:P$172,1)+(COUNTIF('1. Datos'!P$2:P$172,'1. Datos'!P130)-1)/2</f>
        <v>122</v>
      </c>
      <c r="J130">
        <f>RANK('1. Datos'!Q130,'1. Datos'!Q$2:Q$172,1)+(COUNTIF('1. Datos'!Q$2:Q$172,'1. Datos'!Q130)-1)/2</f>
        <v>38.5</v>
      </c>
      <c r="K130">
        <f>RANK('1. Datos'!R130,'1. Datos'!R$2:R$172,1)+(COUNTIF('1. Datos'!R$2:R$172,'1. Datos'!R130)-1)/2</f>
        <v>118.5</v>
      </c>
      <c r="L130">
        <f>RANK('1. Datos'!S130,'1. Datos'!S$2:S$172,1)+(COUNTIF('1. Datos'!S$2:S$172,'1. Datos'!S130)-1)/2</f>
        <v>124.5</v>
      </c>
    </row>
    <row r="131" spans="1:12" ht="15" customHeight="1" x14ac:dyDescent="0.45">
      <c r="A131">
        <f>RANK('1. Datos'!H131,'1. Datos'!H$2:H$172,1)+(COUNTIF('1. Datos'!H$2:H$172,'1. Datos'!H131)-1)/2</f>
        <v>41.5</v>
      </c>
      <c r="B131">
        <f>RANK('1. Datos'!I131,'1. Datos'!I$2:I$172,1)+(COUNTIF('1. Datos'!I$2:I$172,'1. Datos'!I131)-1)/2</f>
        <v>57.5</v>
      </c>
      <c r="C131">
        <f>RANK('1. Datos'!J131,'1. Datos'!J$2:J$172,1)+(COUNTIF('1. Datos'!J$2:J$172,'1. Datos'!J131)-1)/2</f>
        <v>62</v>
      </c>
      <c r="D131">
        <f>RANK('1. Datos'!K131,'1. Datos'!K$2:K$172,1)+(COUNTIF('1. Datos'!K$2:K$172,'1. Datos'!K131)-1)/2</f>
        <v>149</v>
      </c>
      <c r="E131">
        <f>RANK('1. Datos'!L131,'1. Datos'!L$2:L$172,1)+(COUNTIF('1. Datos'!L$2:L$172,'1. Datos'!L131)-1)/2</f>
        <v>132</v>
      </c>
      <c r="F131">
        <f>RANK('1. Datos'!M131,'1. Datos'!M$2:M$172,1)+(COUNTIF('1. Datos'!M$2:M$172,'1. Datos'!M131)-1)/2</f>
        <v>57.5</v>
      </c>
      <c r="G131">
        <f>RANK('1. Datos'!N131,'1. Datos'!N$2:N$172,1)+(COUNTIF('1. Datos'!N$2:N$172,'1. Datos'!N131)-1)/2</f>
        <v>127</v>
      </c>
      <c r="H131">
        <f>RANK('1. Datos'!O131,'1. Datos'!O$2:O$172,1)+(COUNTIF('1. Datos'!O$2:O$172,'1. Datos'!O131)-1)/2</f>
        <v>126</v>
      </c>
      <c r="I131">
        <f>RANK('1. Datos'!P131,'1. Datos'!P$2:P$172,1)+(COUNTIF('1. Datos'!P$2:P$172,'1. Datos'!P131)-1)/2</f>
        <v>122</v>
      </c>
      <c r="J131">
        <f>RANK('1. Datos'!Q131,'1. Datos'!Q$2:Q$172,1)+(COUNTIF('1. Datos'!Q$2:Q$172,'1. Datos'!Q131)-1)/2</f>
        <v>38.5</v>
      </c>
      <c r="K131">
        <f>RANK('1. Datos'!R131,'1. Datos'!R$2:R$172,1)+(COUNTIF('1. Datos'!R$2:R$172,'1. Datos'!R131)-1)/2</f>
        <v>33.5</v>
      </c>
      <c r="L131">
        <f>RANK('1. Datos'!S131,'1. Datos'!S$2:S$172,1)+(COUNTIF('1. Datos'!S$2:S$172,'1. Datos'!S131)-1)/2</f>
        <v>124.5</v>
      </c>
    </row>
    <row r="132" spans="1:12" ht="15" customHeight="1" x14ac:dyDescent="0.45">
      <c r="A132">
        <f>RANK('1. Datos'!H132,'1. Datos'!H$2:H$172,1)+(COUNTIF('1. Datos'!H$2:H$172,'1. Datos'!H132)-1)/2</f>
        <v>125</v>
      </c>
      <c r="B132">
        <f>RANK('1. Datos'!I132,'1. Datos'!I$2:I$172,1)+(COUNTIF('1. Datos'!I$2:I$172,'1. Datos'!I132)-1)/2</f>
        <v>138</v>
      </c>
      <c r="C132">
        <f>RANK('1. Datos'!J132,'1. Datos'!J$2:J$172,1)+(COUNTIF('1. Datos'!J$2:J$172,'1. Datos'!J132)-1)/2</f>
        <v>62</v>
      </c>
      <c r="D132">
        <f>RANK('1. Datos'!K132,'1. Datos'!K$2:K$172,1)+(COUNTIF('1. Datos'!K$2:K$172,'1. Datos'!K132)-1)/2</f>
        <v>11</v>
      </c>
      <c r="E132">
        <f>RANK('1. Datos'!L132,'1. Datos'!L$2:L$172,1)+(COUNTIF('1. Datos'!L$2:L$172,'1. Datos'!L132)-1)/2</f>
        <v>55.5</v>
      </c>
      <c r="F132">
        <f>RANK('1. Datos'!M132,'1. Datos'!M$2:M$172,1)+(COUNTIF('1. Datos'!M$2:M$172,'1. Datos'!M132)-1)/2</f>
        <v>57.5</v>
      </c>
      <c r="G132">
        <f>RANK('1. Datos'!N132,'1. Datos'!N$2:N$172,1)+(COUNTIF('1. Datos'!N$2:N$172,'1. Datos'!N132)-1)/2</f>
        <v>127</v>
      </c>
      <c r="H132">
        <f>RANK('1. Datos'!O132,'1. Datos'!O$2:O$172,1)+(COUNTIF('1. Datos'!O$2:O$172,'1. Datos'!O132)-1)/2</f>
        <v>126</v>
      </c>
      <c r="I132">
        <f>RANK('1. Datos'!P132,'1. Datos'!P$2:P$172,1)+(COUNTIF('1. Datos'!P$2:P$172,'1. Datos'!P132)-1)/2</f>
        <v>122</v>
      </c>
      <c r="J132">
        <f>RANK('1. Datos'!Q132,'1. Datos'!Q$2:Q$172,1)+(COUNTIF('1. Datos'!Q$2:Q$172,'1. Datos'!Q132)-1)/2</f>
        <v>123</v>
      </c>
      <c r="K132">
        <f>RANK('1. Datos'!R132,'1. Datos'!R$2:R$172,1)+(COUNTIF('1. Datos'!R$2:R$172,'1. Datos'!R132)-1)/2</f>
        <v>118.5</v>
      </c>
      <c r="L132">
        <f>RANK('1. Datos'!S132,'1. Datos'!S$2:S$172,1)+(COUNTIF('1. Datos'!S$2:S$172,'1. Datos'!S132)-1)/2</f>
        <v>124.5</v>
      </c>
    </row>
    <row r="133" spans="1:12" ht="15" customHeight="1" x14ac:dyDescent="0.45">
      <c r="A133">
        <f>RANK('1. Datos'!H133,'1. Datos'!H$2:H$172,1)+(COUNTIF('1. Datos'!H$2:H$172,'1. Datos'!H133)-1)/2</f>
        <v>41.5</v>
      </c>
      <c r="B133">
        <f>RANK('1. Datos'!I133,'1. Datos'!I$2:I$172,1)+(COUNTIF('1. Datos'!I$2:I$172,'1. Datos'!I133)-1)/2</f>
        <v>5.5</v>
      </c>
      <c r="C133">
        <f>RANK('1. Datos'!J133,'1. Datos'!J$2:J$172,1)+(COUNTIF('1. Datos'!J$2:J$172,'1. Datos'!J133)-1)/2</f>
        <v>137.5</v>
      </c>
      <c r="D133">
        <f>RANK('1. Datos'!K133,'1. Datos'!K$2:K$172,1)+(COUNTIF('1. Datos'!K$2:K$172,'1. Datos'!K133)-1)/2</f>
        <v>149</v>
      </c>
      <c r="E133">
        <f>RANK('1. Datos'!L133,'1. Datos'!L$2:L$172,1)+(COUNTIF('1. Datos'!L$2:L$172,'1. Datos'!L133)-1)/2</f>
        <v>55.5</v>
      </c>
      <c r="F133">
        <f>RANK('1. Datos'!M133,'1. Datos'!M$2:M$172,1)+(COUNTIF('1. Datos'!M$2:M$172,'1. Datos'!M133)-1)/2</f>
        <v>139.5</v>
      </c>
      <c r="G133">
        <f>RANK('1. Datos'!N133,'1. Datos'!N$2:N$172,1)+(COUNTIF('1. Datos'!N$2:N$172,'1. Datos'!N133)-1)/2</f>
        <v>127</v>
      </c>
      <c r="H133">
        <f>RANK('1. Datos'!O133,'1. Datos'!O$2:O$172,1)+(COUNTIF('1. Datos'!O$2:O$172,'1. Datos'!O133)-1)/2</f>
        <v>126</v>
      </c>
      <c r="I133">
        <f>RANK('1. Datos'!P133,'1. Datos'!P$2:P$172,1)+(COUNTIF('1. Datos'!P$2:P$172,'1. Datos'!P133)-1)/2</f>
        <v>41.5</v>
      </c>
      <c r="J133">
        <f>RANK('1. Datos'!Q133,'1. Datos'!Q$2:Q$172,1)+(COUNTIF('1. Datos'!Q$2:Q$172,'1. Datos'!Q133)-1)/2</f>
        <v>123</v>
      </c>
      <c r="K133">
        <f>RANK('1. Datos'!R133,'1. Datos'!R$2:R$172,1)+(COUNTIF('1. Datos'!R$2:R$172,'1. Datos'!R133)-1)/2</f>
        <v>33.5</v>
      </c>
      <c r="L133">
        <f>RANK('1. Datos'!S133,'1. Datos'!S$2:S$172,1)+(COUNTIF('1. Datos'!S$2:S$172,'1. Datos'!S133)-1)/2</f>
        <v>51.5</v>
      </c>
    </row>
    <row r="134" spans="1:12" ht="15" customHeight="1" x14ac:dyDescent="0.45">
      <c r="A134">
        <f>RANK('1. Datos'!H134,'1. Datos'!H$2:H$172,1)+(COUNTIF('1. Datos'!H$2:H$172,'1. Datos'!H134)-1)/2</f>
        <v>41.5</v>
      </c>
      <c r="B134">
        <f>RANK('1. Datos'!I134,'1. Datos'!I$2:I$172,1)+(COUNTIF('1. Datos'!I$2:I$172,'1. Datos'!I134)-1)/2</f>
        <v>57.5</v>
      </c>
      <c r="C134">
        <f>RANK('1. Datos'!J134,'1. Datos'!J$2:J$172,1)+(COUNTIF('1. Datos'!J$2:J$172,'1. Datos'!J134)-1)/2</f>
        <v>62</v>
      </c>
      <c r="D134">
        <f>RANK('1. Datos'!K134,'1. Datos'!K$2:K$172,1)+(COUNTIF('1. Datos'!K$2:K$172,'1. Datos'!K134)-1)/2</f>
        <v>92.5</v>
      </c>
      <c r="E134">
        <f>RANK('1. Datos'!L134,'1. Datos'!L$2:L$172,1)+(COUNTIF('1. Datos'!L$2:L$172,'1. Datos'!L134)-1)/2</f>
        <v>55.5</v>
      </c>
      <c r="F134">
        <f>RANK('1. Datos'!M134,'1. Datos'!M$2:M$172,1)+(COUNTIF('1. Datos'!M$2:M$172,'1. Datos'!M134)-1)/2</f>
        <v>57.5</v>
      </c>
      <c r="G134">
        <f>RANK('1. Datos'!N134,'1. Datos'!N$2:N$172,1)+(COUNTIF('1. Datos'!N$2:N$172,'1. Datos'!N134)-1)/2</f>
        <v>53</v>
      </c>
      <c r="H134">
        <f>RANK('1. Datos'!O134,'1. Datos'!O$2:O$172,1)+(COUNTIF('1. Datos'!O$2:O$172,'1. Datos'!O134)-1)/2</f>
        <v>9.5</v>
      </c>
      <c r="I134">
        <f>RANK('1. Datos'!P134,'1. Datos'!P$2:P$172,1)+(COUNTIF('1. Datos'!P$2:P$172,'1. Datos'!P134)-1)/2</f>
        <v>122</v>
      </c>
      <c r="J134">
        <f>RANK('1. Datos'!Q134,'1. Datos'!Q$2:Q$172,1)+(COUNTIF('1. Datos'!Q$2:Q$172,'1. Datos'!Q134)-1)/2</f>
        <v>38.5</v>
      </c>
      <c r="K134">
        <f>RANK('1. Datos'!R134,'1. Datos'!R$2:R$172,1)+(COUNTIF('1. Datos'!R$2:R$172,'1. Datos'!R134)-1)/2</f>
        <v>118.5</v>
      </c>
      <c r="L134">
        <f>RANK('1. Datos'!S134,'1. Datos'!S$2:S$172,1)+(COUNTIF('1. Datos'!S$2:S$172,'1. Datos'!S134)-1)/2</f>
        <v>51.5</v>
      </c>
    </row>
    <row r="135" spans="1:12" ht="15" customHeight="1" x14ac:dyDescent="0.45">
      <c r="A135">
        <f>RANK('1. Datos'!H135,'1. Datos'!H$2:H$172,1)+(COUNTIF('1. Datos'!H$2:H$172,'1. Datos'!H135)-1)/2</f>
        <v>125</v>
      </c>
      <c r="B135">
        <f>RANK('1. Datos'!I135,'1. Datos'!I$2:I$172,1)+(COUNTIF('1. Datos'!I$2:I$172,'1. Datos'!I135)-1)/2</f>
        <v>138</v>
      </c>
      <c r="C135">
        <f>RANK('1. Datos'!J135,'1. Datos'!J$2:J$172,1)+(COUNTIF('1. Datos'!J$2:J$172,'1. Datos'!J135)-1)/2</f>
        <v>10.5</v>
      </c>
      <c r="D135">
        <f>RANK('1. Datos'!K135,'1. Datos'!K$2:K$172,1)+(COUNTIF('1. Datos'!K$2:K$172,'1. Datos'!K135)-1)/2</f>
        <v>149</v>
      </c>
      <c r="E135">
        <f>RANK('1. Datos'!L135,'1. Datos'!L$2:L$172,1)+(COUNTIF('1. Datos'!L$2:L$172,'1. Datos'!L135)-1)/2</f>
        <v>55.5</v>
      </c>
      <c r="F135">
        <f>RANK('1. Datos'!M135,'1. Datos'!M$2:M$172,1)+(COUNTIF('1. Datos'!M$2:M$172,'1. Datos'!M135)-1)/2</f>
        <v>57.5</v>
      </c>
      <c r="G135">
        <f>RANK('1. Datos'!N135,'1. Datos'!N$2:N$172,1)+(COUNTIF('1. Datos'!N$2:N$172,'1. Datos'!N135)-1)/2</f>
        <v>16</v>
      </c>
      <c r="H135">
        <f>RANK('1. Datos'!O135,'1. Datos'!O$2:O$172,1)+(COUNTIF('1. Datos'!O$2:O$172,'1. Datos'!O135)-1)/2</f>
        <v>49</v>
      </c>
      <c r="I135">
        <f>RANK('1. Datos'!P135,'1. Datos'!P$2:P$172,1)+(COUNTIF('1. Datos'!P$2:P$172,'1. Datos'!P135)-1)/2</f>
        <v>5.5</v>
      </c>
      <c r="J135">
        <f>RANK('1. Datos'!Q135,'1. Datos'!Q$2:Q$172,1)+(COUNTIF('1. Datos'!Q$2:Q$172,'1. Datos'!Q135)-1)/2</f>
        <v>38.5</v>
      </c>
      <c r="K135">
        <f>RANK('1. Datos'!R135,'1. Datos'!R$2:R$172,1)+(COUNTIF('1. Datos'!R$2:R$172,'1. Datos'!R135)-1)/2</f>
        <v>118.5</v>
      </c>
      <c r="L135">
        <f>RANK('1. Datos'!S135,'1. Datos'!S$2:S$172,1)+(COUNTIF('1. Datos'!S$2:S$172,'1. Datos'!S135)-1)/2</f>
        <v>51.5</v>
      </c>
    </row>
    <row r="136" spans="1:12" ht="15" customHeight="1" x14ac:dyDescent="0.45">
      <c r="A136">
        <f>RANK('1. Datos'!H136,'1. Datos'!H$2:H$172,1)+(COUNTIF('1. Datos'!H$2:H$172,'1. Datos'!H136)-1)/2</f>
        <v>41.5</v>
      </c>
      <c r="B136">
        <f>RANK('1. Datos'!I136,'1. Datos'!I$2:I$172,1)+(COUNTIF('1. Datos'!I$2:I$172,'1. Datos'!I136)-1)/2</f>
        <v>5.5</v>
      </c>
      <c r="C136">
        <f>RANK('1. Datos'!J136,'1. Datos'!J$2:J$172,1)+(COUNTIF('1. Datos'!J$2:J$172,'1. Datos'!J136)-1)/2</f>
        <v>62</v>
      </c>
      <c r="D136">
        <f>RANK('1. Datos'!K136,'1. Datos'!K$2:K$172,1)+(COUNTIF('1. Datos'!K$2:K$172,'1. Datos'!K136)-1)/2</f>
        <v>39</v>
      </c>
      <c r="E136">
        <f>RANK('1. Datos'!L136,'1. Datos'!L$2:L$172,1)+(COUNTIF('1. Datos'!L$2:L$172,'1. Datos'!L136)-1)/2</f>
        <v>132</v>
      </c>
      <c r="F136">
        <f>RANK('1. Datos'!M136,'1. Datos'!M$2:M$172,1)+(COUNTIF('1. Datos'!M$2:M$172,'1. Datos'!M136)-1)/2</f>
        <v>139.5</v>
      </c>
      <c r="G136">
        <f>RANK('1. Datos'!N136,'1. Datos'!N$2:N$172,1)+(COUNTIF('1. Datos'!N$2:N$172,'1. Datos'!N136)-1)/2</f>
        <v>127</v>
      </c>
      <c r="H136">
        <f>RANK('1. Datos'!O136,'1. Datos'!O$2:O$172,1)+(COUNTIF('1. Datos'!O$2:O$172,'1. Datos'!O136)-1)/2</f>
        <v>49</v>
      </c>
      <c r="I136">
        <f>RANK('1. Datos'!P136,'1. Datos'!P$2:P$172,1)+(COUNTIF('1. Datos'!P$2:P$172,'1. Datos'!P136)-1)/2</f>
        <v>41.5</v>
      </c>
      <c r="J136">
        <f>RANK('1. Datos'!Q136,'1. Datos'!Q$2:Q$172,1)+(COUNTIF('1. Datos'!Q$2:Q$172,'1. Datos'!Q136)-1)/2</f>
        <v>123</v>
      </c>
      <c r="K136">
        <f>RANK('1. Datos'!R136,'1. Datos'!R$2:R$172,1)+(COUNTIF('1. Datos'!R$2:R$172,'1. Datos'!R136)-1)/2</f>
        <v>118.5</v>
      </c>
      <c r="L136">
        <f>RANK('1. Datos'!S136,'1. Datos'!S$2:S$172,1)+(COUNTIF('1. Datos'!S$2:S$172,'1. Datos'!S136)-1)/2</f>
        <v>14</v>
      </c>
    </row>
    <row r="137" spans="1:12" ht="15" customHeight="1" x14ac:dyDescent="0.45">
      <c r="A137">
        <f>RANK('1. Datos'!H137,'1. Datos'!H$2:H$172,1)+(COUNTIF('1. Datos'!H$2:H$172,'1. Datos'!H137)-1)/2</f>
        <v>41.5</v>
      </c>
      <c r="B137">
        <f>RANK('1. Datos'!I137,'1. Datos'!I$2:I$172,1)+(COUNTIF('1. Datos'!I$2:I$172,'1. Datos'!I137)-1)/2</f>
        <v>57.5</v>
      </c>
      <c r="C137">
        <f>RANK('1. Datos'!J137,'1. Datos'!J$2:J$172,1)+(COUNTIF('1. Datos'!J$2:J$172,'1. Datos'!J137)-1)/2</f>
        <v>137.5</v>
      </c>
      <c r="D137">
        <f>RANK('1. Datos'!K137,'1. Datos'!K$2:K$172,1)+(COUNTIF('1. Datos'!K$2:K$172,'1. Datos'!K137)-1)/2</f>
        <v>39</v>
      </c>
      <c r="E137">
        <f>RANK('1. Datos'!L137,'1. Datos'!L$2:L$172,1)+(COUNTIF('1. Datos'!L$2:L$172,'1. Datos'!L137)-1)/2</f>
        <v>132</v>
      </c>
      <c r="F137">
        <f>RANK('1. Datos'!M137,'1. Datos'!M$2:M$172,1)+(COUNTIF('1. Datos'!M$2:M$172,'1. Datos'!M137)-1)/2</f>
        <v>139.5</v>
      </c>
      <c r="G137">
        <f>RANK('1. Datos'!N137,'1. Datos'!N$2:N$172,1)+(COUNTIF('1. Datos'!N$2:N$172,'1. Datos'!N137)-1)/2</f>
        <v>127</v>
      </c>
      <c r="H137">
        <f>RANK('1. Datos'!O137,'1. Datos'!O$2:O$172,1)+(COUNTIF('1. Datos'!O$2:O$172,'1. Datos'!O137)-1)/2</f>
        <v>126</v>
      </c>
      <c r="I137">
        <f>RANK('1. Datos'!P137,'1. Datos'!P$2:P$172,1)+(COUNTIF('1. Datos'!P$2:P$172,'1. Datos'!P137)-1)/2</f>
        <v>41.5</v>
      </c>
      <c r="J137">
        <f>RANK('1. Datos'!Q137,'1. Datos'!Q$2:Q$172,1)+(COUNTIF('1. Datos'!Q$2:Q$172,'1. Datos'!Q137)-1)/2</f>
        <v>38.5</v>
      </c>
      <c r="K137">
        <f>RANK('1. Datos'!R137,'1. Datos'!R$2:R$172,1)+(COUNTIF('1. Datos'!R$2:R$172,'1. Datos'!R137)-1)/2</f>
        <v>118.5</v>
      </c>
      <c r="L137">
        <f>RANK('1. Datos'!S137,'1. Datos'!S$2:S$172,1)+(COUNTIF('1. Datos'!S$2:S$172,'1. Datos'!S137)-1)/2</f>
        <v>124.5</v>
      </c>
    </row>
    <row r="138" spans="1:12" ht="15" customHeight="1" x14ac:dyDescent="0.45">
      <c r="A138">
        <f>RANK('1. Datos'!H138,'1. Datos'!H$2:H$172,1)+(COUNTIF('1. Datos'!H$2:H$172,'1. Datos'!H138)-1)/2</f>
        <v>125</v>
      </c>
      <c r="B138">
        <f>RANK('1. Datos'!I138,'1. Datos'!I$2:I$172,1)+(COUNTIF('1. Datos'!I$2:I$172,'1. Datos'!I138)-1)/2</f>
        <v>57.5</v>
      </c>
      <c r="C138">
        <f>RANK('1. Datos'!J138,'1. Datos'!J$2:J$172,1)+(COUNTIF('1. Datos'!J$2:J$172,'1. Datos'!J138)-1)/2</f>
        <v>137.5</v>
      </c>
      <c r="D138">
        <f>RANK('1. Datos'!K138,'1. Datos'!K$2:K$172,1)+(COUNTIF('1. Datos'!K$2:K$172,'1. Datos'!K138)-1)/2</f>
        <v>39</v>
      </c>
      <c r="E138">
        <f>RANK('1. Datos'!L138,'1. Datos'!L$2:L$172,1)+(COUNTIF('1. Datos'!L$2:L$172,'1. Datos'!L138)-1)/2</f>
        <v>55.5</v>
      </c>
      <c r="F138">
        <f>RANK('1. Datos'!M138,'1. Datos'!M$2:M$172,1)+(COUNTIF('1. Datos'!M$2:M$172,'1. Datos'!M138)-1)/2</f>
        <v>57.5</v>
      </c>
      <c r="G138">
        <f>RANK('1. Datos'!N138,'1. Datos'!N$2:N$172,1)+(COUNTIF('1. Datos'!N$2:N$172,'1. Datos'!N138)-1)/2</f>
        <v>16</v>
      </c>
      <c r="H138">
        <f>RANK('1. Datos'!O138,'1. Datos'!O$2:O$172,1)+(COUNTIF('1. Datos'!O$2:O$172,'1. Datos'!O138)-1)/2</f>
        <v>49</v>
      </c>
      <c r="I138">
        <f>RANK('1. Datos'!P138,'1. Datos'!P$2:P$172,1)+(COUNTIF('1. Datos'!P$2:P$172,'1. Datos'!P138)-1)/2</f>
        <v>122</v>
      </c>
      <c r="J138">
        <f>RANK('1. Datos'!Q138,'1. Datos'!Q$2:Q$172,1)+(COUNTIF('1. Datos'!Q$2:Q$172,'1. Datos'!Q138)-1)/2</f>
        <v>38.5</v>
      </c>
      <c r="K138">
        <f>RANK('1. Datos'!R138,'1. Datos'!R$2:R$172,1)+(COUNTIF('1. Datos'!R$2:R$172,'1. Datos'!R138)-1)/2</f>
        <v>118.5</v>
      </c>
      <c r="L138">
        <f>RANK('1. Datos'!S138,'1. Datos'!S$2:S$172,1)+(COUNTIF('1. Datos'!S$2:S$172,'1. Datos'!S138)-1)/2</f>
        <v>51.5</v>
      </c>
    </row>
    <row r="139" spans="1:12" ht="15" customHeight="1" x14ac:dyDescent="0.45">
      <c r="A139">
        <f>RANK('1. Datos'!H139,'1. Datos'!H$2:H$172,1)+(COUNTIF('1. Datos'!H$2:H$172,'1. Datos'!H139)-1)/2</f>
        <v>125</v>
      </c>
      <c r="B139">
        <f>RANK('1. Datos'!I139,'1. Datos'!I$2:I$172,1)+(COUNTIF('1. Datos'!I$2:I$172,'1. Datos'!I139)-1)/2</f>
        <v>138</v>
      </c>
      <c r="C139">
        <f>RANK('1. Datos'!J139,'1. Datos'!J$2:J$172,1)+(COUNTIF('1. Datos'!J$2:J$172,'1. Datos'!J139)-1)/2</f>
        <v>62</v>
      </c>
      <c r="D139">
        <f>RANK('1. Datos'!K139,'1. Datos'!K$2:K$172,1)+(COUNTIF('1. Datos'!K$2:K$172,'1. Datos'!K139)-1)/2</f>
        <v>92.5</v>
      </c>
      <c r="E139">
        <f>RANK('1. Datos'!L139,'1. Datos'!L$2:L$172,1)+(COUNTIF('1. Datos'!L$2:L$172,'1. Datos'!L139)-1)/2</f>
        <v>55.5</v>
      </c>
      <c r="F139">
        <f>RANK('1. Datos'!M139,'1. Datos'!M$2:M$172,1)+(COUNTIF('1. Datos'!M$2:M$172,'1. Datos'!M139)-1)/2</f>
        <v>139.5</v>
      </c>
      <c r="G139">
        <f>RANK('1. Datos'!N139,'1. Datos'!N$2:N$172,1)+(COUNTIF('1. Datos'!N$2:N$172,'1. Datos'!N139)-1)/2</f>
        <v>127</v>
      </c>
      <c r="H139">
        <f>RANK('1. Datos'!O139,'1. Datos'!O$2:O$172,1)+(COUNTIF('1. Datos'!O$2:O$172,'1. Datos'!O139)-1)/2</f>
        <v>126</v>
      </c>
      <c r="I139">
        <f>RANK('1. Datos'!P139,'1. Datos'!P$2:P$172,1)+(COUNTIF('1. Datos'!P$2:P$172,'1. Datos'!P139)-1)/2</f>
        <v>122</v>
      </c>
      <c r="J139">
        <f>RANK('1. Datos'!Q139,'1. Datos'!Q$2:Q$172,1)+(COUNTIF('1. Datos'!Q$2:Q$172,'1. Datos'!Q139)-1)/2</f>
        <v>38.5</v>
      </c>
      <c r="K139">
        <f>RANK('1. Datos'!R139,'1. Datos'!R$2:R$172,1)+(COUNTIF('1. Datos'!R$2:R$172,'1. Datos'!R139)-1)/2</f>
        <v>118.5</v>
      </c>
      <c r="L139">
        <f>RANK('1. Datos'!S139,'1. Datos'!S$2:S$172,1)+(COUNTIF('1. Datos'!S$2:S$172,'1. Datos'!S139)-1)/2</f>
        <v>51.5</v>
      </c>
    </row>
    <row r="140" spans="1:12" ht="15" customHeight="1" x14ac:dyDescent="0.45">
      <c r="A140">
        <f>RANK('1. Datos'!H140,'1. Datos'!H$2:H$172,1)+(COUNTIF('1. Datos'!H$2:H$172,'1. Datos'!H140)-1)/2</f>
        <v>41.5</v>
      </c>
      <c r="B140">
        <f>RANK('1. Datos'!I140,'1. Datos'!I$2:I$172,1)+(COUNTIF('1. Datos'!I$2:I$172,'1. Datos'!I140)-1)/2</f>
        <v>138</v>
      </c>
      <c r="C140">
        <f>RANK('1. Datos'!J140,'1. Datos'!J$2:J$172,1)+(COUNTIF('1. Datos'!J$2:J$172,'1. Datos'!J140)-1)/2</f>
        <v>137.5</v>
      </c>
      <c r="D140">
        <f>RANK('1. Datos'!K140,'1. Datos'!K$2:K$172,1)+(COUNTIF('1. Datos'!K$2:K$172,'1. Datos'!K140)-1)/2</f>
        <v>149</v>
      </c>
      <c r="E140">
        <f>RANK('1. Datos'!L140,'1. Datos'!L$2:L$172,1)+(COUNTIF('1. Datos'!L$2:L$172,'1. Datos'!L140)-1)/2</f>
        <v>132</v>
      </c>
      <c r="F140">
        <f>RANK('1. Datos'!M140,'1. Datos'!M$2:M$172,1)+(COUNTIF('1. Datos'!M$2:M$172,'1. Datos'!M140)-1)/2</f>
        <v>57.5</v>
      </c>
      <c r="G140">
        <f>RANK('1. Datos'!N140,'1. Datos'!N$2:N$172,1)+(COUNTIF('1. Datos'!N$2:N$172,'1. Datos'!N140)-1)/2</f>
        <v>127</v>
      </c>
      <c r="H140">
        <f>RANK('1. Datos'!O140,'1. Datos'!O$2:O$172,1)+(COUNTIF('1. Datos'!O$2:O$172,'1. Datos'!O140)-1)/2</f>
        <v>126</v>
      </c>
      <c r="I140">
        <f>RANK('1. Datos'!P140,'1. Datos'!P$2:P$172,1)+(COUNTIF('1. Datos'!P$2:P$172,'1. Datos'!P140)-1)/2</f>
        <v>122</v>
      </c>
      <c r="J140">
        <f>RANK('1. Datos'!Q140,'1. Datos'!Q$2:Q$172,1)+(COUNTIF('1. Datos'!Q$2:Q$172,'1. Datos'!Q140)-1)/2</f>
        <v>123</v>
      </c>
      <c r="K140">
        <f>RANK('1. Datos'!R140,'1. Datos'!R$2:R$172,1)+(COUNTIF('1. Datos'!R$2:R$172,'1. Datos'!R140)-1)/2</f>
        <v>33.5</v>
      </c>
      <c r="L140">
        <f>RANK('1. Datos'!S140,'1. Datos'!S$2:S$172,1)+(COUNTIF('1. Datos'!S$2:S$172,'1. Datos'!S140)-1)/2</f>
        <v>124.5</v>
      </c>
    </row>
    <row r="141" spans="1:12" ht="15" customHeight="1" x14ac:dyDescent="0.45">
      <c r="A141">
        <f>RANK('1. Datos'!H141,'1. Datos'!H$2:H$172,1)+(COUNTIF('1. Datos'!H$2:H$172,'1. Datos'!H141)-1)/2</f>
        <v>41.5</v>
      </c>
      <c r="B141">
        <f>RANK('1. Datos'!I141,'1. Datos'!I$2:I$172,1)+(COUNTIF('1. Datos'!I$2:I$172,'1. Datos'!I141)-1)/2</f>
        <v>57.5</v>
      </c>
      <c r="C141">
        <f>RANK('1. Datos'!J141,'1. Datos'!J$2:J$172,1)+(COUNTIF('1. Datos'!J$2:J$172,'1. Datos'!J141)-1)/2</f>
        <v>137.5</v>
      </c>
      <c r="D141">
        <f>RANK('1. Datos'!K141,'1. Datos'!K$2:K$172,1)+(COUNTIF('1. Datos'!K$2:K$172,'1. Datos'!K141)-1)/2</f>
        <v>39</v>
      </c>
      <c r="E141">
        <f>RANK('1. Datos'!L141,'1. Datos'!L$2:L$172,1)+(COUNTIF('1. Datos'!L$2:L$172,'1. Datos'!L141)-1)/2</f>
        <v>132</v>
      </c>
      <c r="F141">
        <f>RANK('1. Datos'!M141,'1. Datos'!M$2:M$172,1)+(COUNTIF('1. Datos'!M$2:M$172,'1. Datos'!M141)-1)/2</f>
        <v>57.5</v>
      </c>
      <c r="G141">
        <f>RANK('1. Datos'!N141,'1. Datos'!N$2:N$172,1)+(COUNTIF('1. Datos'!N$2:N$172,'1. Datos'!N141)-1)/2</f>
        <v>53</v>
      </c>
      <c r="H141">
        <f>RANK('1. Datos'!O141,'1. Datos'!O$2:O$172,1)+(COUNTIF('1. Datos'!O$2:O$172,'1. Datos'!O141)-1)/2</f>
        <v>126</v>
      </c>
      <c r="I141">
        <f>RANK('1. Datos'!P141,'1. Datos'!P$2:P$172,1)+(COUNTIF('1. Datos'!P$2:P$172,'1. Datos'!P141)-1)/2</f>
        <v>41.5</v>
      </c>
      <c r="J141">
        <f>RANK('1. Datos'!Q141,'1. Datos'!Q$2:Q$172,1)+(COUNTIF('1. Datos'!Q$2:Q$172,'1. Datos'!Q141)-1)/2</f>
        <v>38.5</v>
      </c>
      <c r="K141">
        <f>RANK('1. Datos'!R141,'1. Datos'!R$2:R$172,1)+(COUNTIF('1. Datos'!R$2:R$172,'1. Datos'!R141)-1)/2</f>
        <v>118.5</v>
      </c>
      <c r="L141">
        <f>RANK('1. Datos'!S141,'1. Datos'!S$2:S$172,1)+(COUNTIF('1. Datos'!S$2:S$172,'1. Datos'!S141)-1)/2</f>
        <v>51.5</v>
      </c>
    </row>
    <row r="142" spans="1:12" ht="15" customHeight="1" x14ac:dyDescent="0.45">
      <c r="A142">
        <f>RANK('1. Datos'!H142,'1. Datos'!H$2:H$172,1)+(COUNTIF('1. Datos'!H$2:H$172,'1. Datos'!H142)-1)/2</f>
        <v>2.5</v>
      </c>
      <c r="B142">
        <f>RANK('1. Datos'!I142,'1. Datos'!I$2:I$172,1)+(COUNTIF('1. Datos'!I$2:I$172,'1. Datos'!I142)-1)/2</f>
        <v>5.5</v>
      </c>
      <c r="C142">
        <f>RANK('1. Datos'!J142,'1. Datos'!J$2:J$172,1)+(COUNTIF('1. Datos'!J$2:J$172,'1. Datos'!J142)-1)/2</f>
        <v>10.5</v>
      </c>
      <c r="D142">
        <f>RANK('1. Datos'!K142,'1. Datos'!K$2:K$172,1)+(COUNTIF('1. Datos'!K$2:K$172,'1. Datos'!K142)-1)/2</f>
        <v>39</v>
      </c>
      <c r="E142">
        <f>RANK('1. Datos'!L142,'1. Datos'!L$2:L$172,1)+(COUNTIF('1. Datos'!L$2:L$172,'1. Datos'!L142)-1)/2</f>
        <v>132</v>
      </c>
      <c r="F142">
        <f>RANK('1. Datos'!M142,'1. Datos'!M$2:M$172,1)+(COUNTIF('1. Datos'!M$2:M$172,'1. Datos'!M142)-1)/2</f>
        <v>57.5</v>
      </c>
      <c r="G142">
        <f>RANK('1. Datos'!N142,'1. Datos'!N$2:N$172,1)+(COUNTIF('1. Datos'!N$2:N$172,'1. Datos'!N142)-1)/2</f>
        <v>53</v>
      </c>
      <c r="H142">
        <f>RANK('1. Datos'!O142,'1. Datos'!O$2:O$172,1)+(COUNTIF('1. Datos'!O$2:O$172,'1. Datos'!O142)-1)/2</f>
        <v>49</v>
      </c>
      <c r="I142">
        <f>RANK('1. Datos'!P142,'1. Datos'!P$2:P$172,1)+(COUNTIF('1. Datos'!P$2:P$172,'1. Datos'!P142)-1)/2</f>
        <v>5.5</v>
      </c>
      <c r="J142">
        <f>RANK('1. Datos'!Q142,'1. Datos'!Q$2:Q$172,1)+(COUNTIF('1. Datos'!Q$2:Q$172,'1. Datos'!Q142)-1)/2</f>
        <v>38.5</v>
      </c>
      <c r="K142">
        <f>RANK('1. Datos'!R142,'1. Datos'!R$2:R$172,1)+(COUNTIF('1. Datos'!R$2:R$172,'1. Datos'!R142)-1)/2</f>
        <v>33.5</v>
      </c>
      <c r="L142">
        <f>RANK('1. Datos'!S142,'1. Datos'!S$2:S$172,1)+(COUNTIF('1. Datos'!S$2:S$172,'1. Datos'!S142)-1)/2</f>
        <v>14</v>
      </c>
    </row>
    <row r="143" spans="1:12" ht="15" customHeight="1" x14ac:dyDescent="0.45">
      <c r="A143">
        <f>RANK('1. Datos'!H143,'1. Datos'!H$2:H$172,1)+(COUNTIF('1. Datos'!H$2:H$172,'1. Datos'!H143)-1)/2</f>
        <v>41.5</v>
      </c>
      <c r="B143">
        <f>RANK('1. Datos'!I143,'1. Datos'!I$2:I$172,1)+(COUNTIF('1. Datos'!I$2:I$172,'1. Datos'!I143)-1)/2</f>
        <v>57.5</v>
      </c>
      <c r="C143">
        <f>RANK('1. Datos'!J143,'1. Datos'!J$2:J$172,1)+(COUNTIF('1. Datos'!J$2:J$172,'1. Datos'!J143)-1)/2</f>
        <v>62</v>
      </c>
      <c r="D143">
        <f>RANK('1. Datos'!K143,'1. Datos'!K$2:K$172,1)+(COUNTIF('1. Datos'!K$2:K$172,'1. Datos'!K143)-1)/2</f>
        <v>39</v>
      </c>
      <c r="E143">
        <f>RANK('1. Datos'!L143,'1. Datos'!L$2:L$172,1)+(COUNTIF('1. Datos'!L$2:L$172,'1. Datos'!L143)-1)/2</f>
        <v>132</v>
      </c>
      <c r="F143">
        <f>RANK('1. Datos'!M143,'1. Datos'!M$2:M$172,1)+(COUNTIF('1. Datos'!M$2:M$172,'1. Datos'!M143)-1)/2</f>
        <v>139.5</v>
      </c>
      <c r="G143">
        <f>RANK('1. Datos'!N143,'1. Datos'!N$2:N$172,1)+(COUNTIF('1. Datos'!N$2:N$172,'1. Datos'!N143)-1)/2</f>
        <v>4.5</v>
      </c>
      <c r="H143">
        <f>RANK('1. Datos'!O143,'1. Datos'!O$2:O$172,1)+(COUNTIF('1. Datos'!O$2:O$172,'1. Datos'!O143)-1)/2</f>
        <v>49</v>
      </c>
      <c r="I143">
        <f>RANK('1. Datos'!P143,'1. Datos'!P$2:P$172,1)+(COUNTIF('1. Datos'!P$2:P$172,'1. Datos'!P143)-1)/2</f>
        <v>122</v>
      </c>
      <c r="J143">
        <f>RANK('1. Datos'!Q143,'1. Datos'!Q$2:Q$172,1)+(COUNTIF('1. Datos'!Q$2:Q$172,'1. Datos'!Q143)-1)/2</f>
        <v>38.5</v>
      </c>
      <c r="K143">
        <f>RANK('1. Datos'!R143,'1. Datos'!R$2:R$172,1)+(COUNTIF('1. Datos'!R$2:R$172,'1. Datos'!R143)-1)/2</f>
        <v>33.5</v>
      </c>
      <c r="L143">
        <f>RANK('1. Datos'!S143,'1. Datos'!S$2:S$172,1)+(COUNTIF('1. Datos'!S$2:S$172,'1. Datos'!S143)-1)/2</f>
        <v>51.5</v>
      </c>
    </row>
    <row r="144" spans="1:12" ht="15" customHeight="1" x14ac:dyDescent="0.45">
      <c r="A144">
        <f>RANK('1. Datos'!H144,'1. Datos'!H$2:H$172,1)+(COUNTIF('1. Datos'!H$2:H$172,'1. Datos'!H144)-1)/2</f>
        <v>41.5</v>
      </c>
      <c r="B144">
        <f>RANK('1. Datos'!I144,'1. Datos'!I$2:I$172,1)+(COUNTIF('1. Datos'!I$2:I$172,'1. Datos'!I144)-1)/2</f>
        <v>138</v>
      </c>
      <c r="C144">
        <f>RANK('1. Datos'!J144,'1. Datos'!J$2:J$172,1)+(COUNTIF('1. Datos'!J$2:J$172,'1. Datos'!J144)-1)/2</f>
        <v>137.5</v>
      </c>
      <c r="D144">
        <f>RANK('1. Datos'!K144,'1. Datos'!K$2:K$172,1)+(COUNTIF('1. Datos'!K$2:K$172,'1. Datos'!K144)-1)/2</f>
        <v>92.5</v>
      </c>
      <c r="E144">
        <f>RANK('1. Datos'!L144,'1. Datos'!L$2:L$172,1)+(COUNTIF('1. Datos'!L$2:L$172,'1. Datos'!L144)-1)/2</f>
        <v>55.5</v>
      </c>
      <c r="F144">
        <f>RANK('1. Datos'!M144,'1. Datos'!M$2:M$172,1)+(COUNTIF('1. Datos'!M$2:M$172,'1. Datos'!M144)-1)/2</f>
        <v>57.5</v>
      </c>
      <c r="G144">
        <f>RANK('1. Datos'!N144,'1. Datos'!N$2:N$172,1)+(COUNTIF('1. Datos'!N$2:N$172,'1. Datos'!N144)-1)/2</f>
        <v>127</v>
      </c>
      <c r="H144">
        <f>RANK('1. Datos'!O144,'1. Datos'!O$2:O$172,1)+(COUNTIF('1. Datos'!O$2:O$172,'1. Datos'!O144)-1)/2</f>
        <v>126</v>
      </c>
      <c r="I144">
        <f>RANK('1. Datos'!P144,'1. Datos'!P$2:P$172,1)+(COUNTIF('1. Datos'!P$2:P$172,'1. Datos'!P144)-1)/2</f>
        <v>122</v>
      </c>
      <c r="J144">
        <f>RANK('1. Datos'!Q144,'1. Datos'!Q$2:Q$172,1)+(COUNTIF('1. Datos'!Q$2:Q$172,'1. Datos'!Q144)-1)/2</f>
        <v>123</v>
      </c>
      <c r="K144">
        <f>RANK('1. Datos'!R144,'1. Datos'!R$2:R$172,1)+(COUNTIF('1. Datos'!R$2:R$172,'1. Datos'!R144)-1)/2</f>
        <v>118.5</v>
      </c>
      <c r="L144">
        <f>RANK('1. Datos'!S144,'1. Datos'!S$2:S$172,1)+(COUNTIF('1. Datos'!S$2:S$172,'1. Datos'!S144)-1)/2</f>
        <v>51.5</v>
      </c>
    </row>
    <row r="145" spans="1:12" ht="15" customHeight="1" x14ac:dyDescent="0.45">
      <c r="A145">
        <f>RANK('1. Datos'!H145,'1. Datos'!H$2:H$172,1)+(COUNTIF('1. Datos'!H$2:H$172,'1. Datos'!H145)-1)/2</f>
        <v>41.5</v>
      </c>
      <c r="B145">
        <f>RANK('1. Datos'!I145,'1. Datos'!I$2:I$172,1)+(COUNTIF('1. Datos'!I$2:I$172,'1. Datos'!I145)-1)/2</f>
        <v>57.5</v>
      </c>
      <c r="C145">
        <f>RANK('1. Datos'!J145,'1. Datos'!J$2:J$172,1)+(COUNTIF('1. Datos'!J$2:J$172,'1. Datos'!J145)-1)/2</f>
        <v>137.5</v>
      </c>
      <c r="D145">
        <f>RANK('1. Datos'!K145,'1. Datos'!K$2:K$172,1)+(COUNTIF('1. Datos'!K$2:K$172,'1. Datos'!K145)-1)/2</f>
        <v>39</v>
      </c>
      <c r="E145">
        <f>RANK('1. Datos'!L145,'1. Datos'!L$2:L$172,1)+(COUNTIF('1. Datos'!L$2:L$172,'1. Datos'!L145)-1)/2</f>
        <v>132</v>
      </c>
      <c r="F145">
        <f>RANK('1. Datos'!M145,'1. Datos'!M$2:M$172,1)+(COUNTIF('1. Datos'!M$2:M$172,'1. Datos'!M145)-1)/2</f>
        <v>57.5</v>
      </c>
      <c r="G145">
        <f>RANK('1. Datos'!N145,'1. Datos'!N$2:N$172,1)+(COUNTIF('1. Datos'!N$2:N$172,'1. Datos'!N145)-1)/2</f>
        <v>53</v>
      </c>
      <c r="H145">
        <f>RANK('1. Datos'!O145,'1. Datos'!O$2:O$172,1)+(COUNTIF('1. Datos'!O$2:O$172,'1. Datos'!O145)-1)/2</f>
        <v>49</v>
      </c>
      <c r="I145">
        <f>RANK('1. Datos'!P145,'1. Datos'!P$2:P$172,1)+(COUNTIF('1. Datos'!P$2:P$172,'1. Datos'!P145)-1)/2</f>
        <v>122</v>
      </c>
      <c r="J145">
        <f>RANK('1. Datos'!Q145,'1. Datos'!Q$2:Q$172,1)+(COUNTIF('1. Datos'!Q$2:Q$172,'1. Datos'!Q145)-1)/2</f>
        <v>123</v>
      </c>
      <c r="K145">
        <f>RANK('1. Datos'!R145,'1. Datos'!R$2:R$172,1)+(COUNTIF('1. Datos'!R$2:R$172,'1. Datos'!R145)-1)/2</f>
        <v>118.5</v>
      </c>
      <c r="L145">
        <f>RANK('1. Datos'!S145,'1. Datos'!S$2:S$172,1)+(COUNTIF('1. Datos'!S$2:S$172,'1. Datos'!S145)-1)/2</f>
        <v>124.5</v>
      </c>
    </row>
    <row r="146" spans="1:12" ht="15" customHeight="1" x14ac:dyDescent="0.45">
      <c r="A146">
        <f>RANK('1. Datos'!H146,'1. Datos'!H$2:H$172,1)+(COUNTIF('1. Datos'!H$2:H$172,'1. Datos'!H146)-1)/2</f>
        <v>41.5</v>
      </c>
      <c r="B146">
        <f>RANK('1. Datos'!I146,'1. Datos'!I$2:I$172,1)+(COUNTIF('1. Datos'!I$2:I$172,'1. Datos'!I146)-1)/2</f>
        <v>138</v>
      </c>
      <c r="C146">
        <f>RANK('1. Datos'!J146,'1. Datos'!J$2:J$172,1)+(COUNTIF('1. Datos'!J$2:J$172,'1. Datos'!J146)-1)/2</f>
        <v>62</v>
      </c>
      <c r="D146">
        <f>RANK('1. Datos'!K146,'1. Datos'!K$2:K$172,1)+(COUNTIF('1. Datos'!K$2:K$172,'1. Datos'!K146)-1)/2</f>
        <v>39</v>
      </c>
      <c r="E146">
        <f>RANK('1. Datos'!L146,'1. Datos'!L$2:L$172,1)+(COUNTIF('1. Datos'!L$2:L$172,'1. Datos'!L146)-1)/2</f>
        <v>132</v>
      </c>
      <c r="F146">
        <f>RANK('1. Datos'!M146,'1. Datos'!M$2:M$172,1)+(COUNTIF('1. Datos'!M$2:M$172,'1. Datos'!M146)-1)/2</f>
        <v>57.5</v>
      </c>
      <c r="G146">
        <f>RANK('1. Datos'!N146,'1. Datos'!N$2:N$172,1)+(COUNTIF('1. Datos'!N$2:N$172,'1. Datos'!N146)-1)/2</f>
        <v>16</v>
      </c>
      <c r="H146">
        <f>RANK('1. Datos'!O146,'1. Datos'!O$2:O$172,1)+(COUNTIF('1. Datos'!O$2:O$172,'1. Datos'!O146)-1)/2</f>
        <v>49</v>
      </c>
      <c r="I146">
        <f>RANK('1. Datos'!P146,'1. Datos'!P$2:P$172,1)+(COUNTIF('1. Datos'!P$2:P$172,'1. Datos'!P146)-1)/2</f>
        <v>41.5</v>
      </c>
      <c r="J146">
        <f>RANK('1. Datos'!Q146,'1. Datos'!Q$2:Q$172,1)+(COUNTIF('1. Datos'!Q$2:Q$172,'1. Datos'!Q146)-1)/2</f>
        <v>38.5</v>
      </c>
      <c r="K146">
        <f>RANK('1. Datos'!R146,'1. Datos'!R$2:R$172,1)+(COUNTIF('1. Datos'!R$2:R$172,'1. Datos'!R146)-1)/2</f>
        <v>33.5</v>
      </c>
      <c r="L146">
        <f>RANK('1. Datos'!S146,'1. Datos'!S$2:S$172,1)+(COUNTIF('1. Datos'!S$2:S$172,'1. Datos'!S146)-1)/2</f>
        <v>14</v>
      </c>
    </row>
    <row r="147" spans="1:12" ht="15" customHeight="1" x14ac:dyDescent="0.45">
      <c r="A147">
        <f>RANK('1. Datos'!H147,'1. Datos'!H$2:H$172,1)+(COUNTIF('1. Datos'!H$2:H$172,'1. Datos'!H147)-1)/2</f>
        <v>125</v>
      </c>
      <c r="B147">
        <f>RANK('1. Datos'!I147,'1. Datos'!I$2:I$172,1)+(COUNTIF('1. Datos'!I$2:I$172,'1. Datos'!I147)-1)/2</f>
        <v>57.5</v>
      </c>
      <c r="C147">
        <f>RANK('1. Datos'!J147,'1. Datos'!J$2:J$172,1)+(COUNTIF('1. Datos'!J$2:J$172,'1. Datos'!J147)-1)/2</f>
        <v>137.5</v>
      </c>
      <c r="D147">
        <f>RANK('1. Datos'!K147,'1. Datos'!K$2:K$172,1)+(COUNTIF('1. Datos'!K$2:K$172,'1. Datos'!K147)-1)/2</f>
        <v>92.5</v>
      </c>
      <c r="E147">
        <f>RANK('1. Datos'!L147,'1. Datos'!L$2:L$172,1)+(COUNTIF('1. Datos'!L$2:L$172,'1. Datos'!L147)-1)/2</f>
        <v>132</v>
      </c>
      <c r="F147">
        <f>RANK('1. Datos'!M147,'1. Datos'!M$2:M$172,1)+(COUNTIF('1. Datos'!M$2:M$172,'1. Datos'!M147)-1)/2</f>
        <v>57.5</v>
      </c>
      <c r="G147">
        <f>RANK('1. Datos'!N147,'1. Datos'!N$2:N$172,1)+(COUNTIF('1. Datos'!N$2:N$172,'1. Datos'!N147)-1)/2</f>
        <v>127</v>
      </c>
      <c r="H147">
        <f>RANK('1. Datos'!O147,'1. Datos'!O$2:O$172,1)+(COUNTIF('1. Datos'!O$2:O$172,'1. Datos'!O147)-1)/2</f>
        <v>49</v>
      </c>
      <c r="I147">
        <f>RANK('1. Datos'!P147,'1. Datos'!P$2:P$172,1)+(COUNTIF('1. Datos'!P$2:P$172,'1. Datos'!P147)-1)/2</f>
        <v>122</v>
      </c>
      <c r="J147">
        <f>RANK('1. Datos'!Q147,'1. Datos'!Q$2:Q$172,1)+(COUNTIF('1. Datos'!Q$2:Q$172,'1. Datos'!Q147)-1)/2</f>
        <v>38.5</v>
      </c>
      <c r="K147">
        <f>RANK('1. Datos'!R147,'1. Datos'!R$2:R$172,1)+(COUNTIF('1. Datos'!R$2:R$172,'1. Datos'!R147)-1)/2</f>
        <v>118.5</v>
      </c>
      <c r="L147">
        <f>RANK('1. Datos'!S147,'1. Datos'!S$2:S$172,1)+(COUNTIF('1. Datos'!S$2:S$172,'1. Datos'!S147)-1)/2</f>
        <v>51.5</v>
      </c>
    </row>
    <row r="148" spans="1:12" ht="15" customHeight="1" x14ac:dyDescent="0.45">
      <c r="A148">
        <f>RANK('1. Datos'!H148,'1. Datos'!H$2:H$172,1)+(COUNTIF('1. Datos'!H$2:H$172,'1. Datos'!H148)-1)/2</f>
        <v>125</v>
      </c>
      <c r="B148">
        <f>RANK('1. Datos'!I148,'1. Datos'!I$2:I$172,1)+(COUNTIF('1. Datos'!I$2:I$172,'1. Datos'!I148)-1)/2</f>
        <v>57.5</v>
      </c>
      <c r="C148">
        <f>RANK('1. Datos'!J148,'1. Datos'!J$2:J$172,1)+(COUNTIF('1. Datos'!J$2:J$172,'1. Datos'!J148)-1)/2</f>
        <v>137.5</v>
      </c>
      <c r="D148">
        <f>RANK('1. Datos'!K148,'1. Datos'!K$2:K$172,1)+(COUNTIF('1. Datos'!K$2:K$172,'1. Datos'!K148)-1)/2</f>
        <v>149</v>
      </c>
      <c r="E148">
        <f>RANK('1. Datos'!L148,'1. Datos'!L$2:L$172,1)+(COUNTIF('1. Datos'!L$2:L$172,'1. Datos'!L148)-1)/2</f>
        <v>132</v>
      </c>
      <c r="F148">
        <f>RANK('1. Datos'!M148,'1. Datos'!M$2:M$172,1)+(COUNTIF('1. Datos'!M$2:M$172,'1. Datos'!M148)-1)/2</f>
        <v>57.5</v>
      </c>
      <c r="G148">
        <f>RANK('1. Datos'!N148,'1. Datos'!N$2:N$172,1)+(COUNTIF('1. Datos'!N$2:N$172,'1. Datos'!N148)-1)/2</f>
        <v>127</v>
      </c>
      <c r="H148">
        <f>RANK('1. Datos'!O148,'1. Datos'!O$2:O$172,1)+(COUNTIF('1. Datos'!O$2:O$172,'1. Datos'!O148)-1)/2</f>
        <v>49</v>
      </c>
      <c r="I148">
        <f>RANK('1. Datos'!P148,'1. Datos'!P$2:P$172,1)+(COUNTIF('1. Datos'!P$2:P$172,'1. Datos'!P148)-1)/2</f>
        <v>122</v>
      </c>
      <c r="J148">
        <f>RANK('1. Datos'!Q148,'1. Datos'!Q$2:Q$172,1)+(COUNTIF('1. Datos'!Q$2:Q$172,'1. Datos'!Q148)-1)/2</f>
        <v>38.5</v>
      </c>
      <c r="K148">
        <f>RANK('1. Datos'!R148,'1. Datos'!R$2:R$172,1)+(COUNTIF('1. Datos'!R$2:R$172,'1. Datos'!R148)-1)/2</f>
        <v>118.5</v>
      </c>
      <c r="L148">
        <f>RANK('1. Datos'!S148,'1. Datos'!S$2:S$172,1)+(COUNTIF('1. Datos'!S$2:S$172,'1. Datos'!S148)-1)/2</f>
        <v>124.5</v>
      </c>
    </row>
    <row r="149" spans="1:12" ht="15" customHeight="1" x14ac:dyDescent="0.45">
      <c r="A149">
        <f>RANK('1. Datos'!H149,'1. Datos'!H$2:H$172,1)+(COUNTIF('1. Datos'!H$2:H$172,'1. Datos'!H149)-1)/2</f>
        <v>41.5</v>
      </c>
      <c r="B149">
        <f>RANK('1. Datos'!I149,'1. Datos'!I$2:I$172,1)+(COUNTIF('1. Datos'!I$2:I$172,'1. Datos'!I149)-1)/2</f>
        <v>57.5</v>
      </c>
      <c r="C149">
        <f>RANK('1. Datos'!J149,'1. Datos'!J$2:J$172,1)+(COUNTIF('1. Datos'!J$2:J$172,'1. Datos'!J149)-1)/2</f>
        <v>62</v>
      </c>
      <c r="D149">
        <f>RANK('1. Datos'!K149,'1. Datos'!K$2:K$172,1)+(COUNTIF('1. Datos'!K$2:K$172,'1. Datos'!K149)-1)/2</f>
        <v>92.5</v>
      </c>
      <c r="E149">
        <f>RANK('1. Datos'!L149,'1. Datos'!L$2:L$172,1)+(COUNTIF('1. Datos'!L$2:L$172,'1. Datos'!L149)-1)/2</f>
        <v>132</v>
      </c>
      <c r="F149">
        <f>RANK('1. Datos'!M149,'1. Datos'!M$2:M$172,1)+(COUNTIF('1. Datos'!M$2:M$172,'1. Datos'!M149)-1)/2</f>
        <v>139.5</v>
      </c>
      <c r="G149">
        <f>RANK('1. Datos'!N149,'1. Datos'!N$2:N$172,1)+(COUNTIF('1. Datos'!N$2:N$172,'1. Datos'!N149)-1)/2</f>
        <v>53</v>
      </c>
      <c r="H149">
        <f>RANK('1. Datos'!O149,'1. Datos'!O$2:O$172,1)+(COUNTIF('1. Datos'!O$2:O$172,'1. Datos'!O149)-1)/2</f>
        <v>9.5</v>
      </c>
      <c r="I149">
        <f>RANK('1. Datos'!P149,'1. Datos'!P$2:P$172,1)+(COUNTIF('1. Datos'!P$2:P$172,'1. Datos'!P149)-1)/2</f>
        <v>122</v>
      </c>
      <c r="J149">
        <f>RANK('1. Datos'!Q149,'1. Datos'!Q$2:Q$172,1)+(COUNTIF('1. Datos'!Q$2:Q$172,'1. Datos'!Q149)-1)/2</f>
        <v>38.5</v>
      </c>
      <c r="K149">
        <f>RANK('1. Datos'!R149,'1. Datos'!R$2:R$172,1)+(COUNTIF('1. Datos'!R$2:R$172,'1. Datos'!R149)-1)/2</f>
        <v>118.5</v>
      </c>
      <c r="L149">
        <f>RANK('1. Datos'!S149,'1. Datos'!S$2:S$172,1)+(COUNTIF('1. Datos'!S$2:S$172,'1. Datos'!S149)-1)/2</f>
        <v>51.5</v>
      </c>
    </row>
    <row r="150" spans="1:12" ht="15" customHeight="1" x14ac:dyDescent="0.45">
      <c r="A150">
        <f>RANK('1. Datos'!H150,'1. Datos'!H$2:H$172,1)+(COUNTIF('1. Datos'!H$2:H$172,'1. Datos'!H150)-1)/2</f>
        <v>41.5</v>
      </c>
      <c r="B150">
        <f>RANK('1. Datos'!I150,'1. Datos'!I$2:I$172,1)+(COUNTIF('1. Datos'!I$2:I$172,'1. Datos'!I150)-1)/2</f>
        <v>138</v>
      </c>
      <c r="C150">
        <f>RANK('1. Datos'!J150,'1. Datos'!J$2:J$172,1)+(COUNTIF('1. Datos'!J$2:J$172,'1. Datos'!J150)-1)/2</f>
        <v>10.5</v>
      </c>
      <c r="D150">
        <f>RANK('1. Datos'!K150,'1. Datos'!K$2:K$172,1)+(COUNTIF('1. Datos'!K$2:K$172,'1. Datos'!K150)-1)/2</f>
        <v>92.5</v>
      </c>
      <c r="E150">
        <f>RANK('1. Datos'!L150,'1. Datos'!L$2:L$172,1)+(COUNTIF('1. Datos'!L$2:L$172,'1. Datos'!L150)-1)/2</f>
        <v>55.5</v>
      </c>
      <c r="F150">
        <f>RANK('1. Datos'!M150,'1. Datos'!M$2:M$172,1)+(COUNTIF('1. Datos'!M$2:M$172,'1. Datos'!M150)-1)/2</f>
        <v>57.5</v>
      </c>
      <c r="G150">
        <f>RANK('1. Datos'!N150,'1. Datos'!N$2:N$172,1)+(COUNTIF('1. Datos'!N$2:N$172,'1. Datos'!N150)-1)/2</f>
        <v>53</v>
      </c>
      <c r="H150">
        <f>RANK('1. Datos'!O150,'1. Datos'!O$2:O$172,1)+(COUNTIF('1. Datos'!O$2:O$172,'1. Datos'!O150)-1)/2</f>
        <v>49</v>
      </c>
      <c r="I150">
        <f>RANK('1. Datos'!P150,'1. Datos'!P$2:P$172,1)+(COUNTIF('1. Datos'!P$2:P$172,'1. Datos'!P150)-1)/2</f>
        <v>122</v>
      </c>
      <c r="J150">
        <f>RANK('1. Datos'!Q150,'1. Datos'!Q$2:Q$172,1)+(COUNTIF('1. Datos'!Q$2:Q$172,'1. Datos'!Q150)-1)/2</f>
        <v>38.5</v>
      </c>
      <c r="K150">
        <f>RANK('1. Datos'!R150,'1. Datos'!R$2:R$172,1)+(COUNTIF('1. Datos'!R$2:R$172,'1. Datos'!R150)-1)/2</f>
        <v>33.5</v>
      </c>
      <c r="L150">
        <f>RANK('1. Datos'!S150,'1. Datos'!S$2:S$172,1)+(COUNTIF('1. Datos'!S$2:S$172,'1. Datos'!S150)-1)/2</f>
        <v>124.5</v>
      </c>
    </row>
    <row r="151" spans="1:12" ht="15" customHeight="1" x14ac:dyDescent="0.45">
      <c r="A151">
        <f>RANK('1. Datos'!H151,'1. Datos'!H$2:H$172,1)+(COUNTIF('1. Datos'!H$2:H$172,'1. Datos'!H151)-1)/2</f>
        <v>41.5</v>
      </c>
      <c r="B151">
        <f>RANK('1. Datos'!I151,'1. Datos'!I$2:I$172,1)+(COUNTIF('1. Datos'!I$2:I$172,'1. Datos'!I151)-1)/2</f>
        <v>57.5</v>
      </c>
      <c r="C151">
        <f>RANK('1. Datos'!J151,'1. Datos'!J$2:J$172,1)+(COUNTIF('1. Datos'!J$2:J$172,'1. Datos'!J151)-1)/2</f>
        <v>62</v>
      </c>
      <c r="D151">
        <f>RANK('1. Datos'!K151,'1. Datos'!K$2:K$172,1)+(COUNTIF('1. Datos'!K$2:K$172,'1. Datos'!K151)-1)/2</f>
        <v>92.5</v>
      </c>
      <c r="E151">
        <f>RANK('1. Datos'!L151,'1. Datos'!L$2:L$172,1)+(COUNTIF('1. Datos'!L$2:L$172,'1. Datos'!L151)-1)/2</f>
        <v>55.5</v>
      </c>
      <c r="F151">
        <f>RANK('1. Datos'!M151,'1. Datos'!M$2:M$172,1)+(COUNTIF('1. Datos'!M$2:M$172,'1. Datos'!M151)-1)/2</f>
        <v>139.5</v>
      </c>
      <c r="G151">
        <f>RANK('1. Datos'!N151,'1. Datos'!N$2:N$172,1)+(COUNTIF('1. Datos'!N$2:N$172,'1. Datos'!N151)-1)/2</f>
        <v>127</v>
      </c>
      <c r="H151">
        <f>RANK('1. Datos'!O151,'1. Datos'!O$2:O$172,1)+(COUNTIF('1. Datos'!O$2:O$172,'1. Datos'!O151)-1)/2</f>
        <v>126</v>
      </c>
      <c r="I151">
        <f>RANK('1. Datos'!P151,'1. Datos'!P$2:P$172,1)+(COUNTIF('1. Datos'!P$2:P$172,'1. Datos'!P151)-1)/2</f>
        <v>41.5</v>
      </c>
      <c r="J151">
        <f>RANK('1. Datos'!Q151,'1. Datos'!Q$2:Q$172,1)+(COUNTIF('1. Datos'!Q$2:Q$172,'1. Datos'!Q151)-1)/2</f>
        <v>38.5</v>
      </c>
      <c r="K151">
        <f>RANK('1. Datos'!R151,'1. Datos'!R$2:R$172,1)+(COUNTIF('1. Datos'!R$2:R$172,'1. Datos'!R151)-1)/2</f>
        <v>118.5</v>
      </c>
      <c r="L151">
        <f>RANK('1. Datos'!S151,'1. Datos'!S$2:S$172,1)+(COUNTIF('1. Datos'!S$2:S$172,'1. Datos'!S151)-1)/2</f>
        <v>124.5</v>
      </c>
    </row>
    <row r="152" spans="1:12" ht="15" customHeight="1" x14ac:dyDescent="0.45">
      <c r="A152">
        <f>RANK('1. Datos'!H152,'1. Datos'!H$2:H$172,1)+(COUNTIF('1. Datos'!H$2:H$172,'1. Datos'!H152)-1)/2</f>
        <v>125</v>
      </c>
      <c r="B152">
        <f>RANK('1. Datos'!I152,'1. Datos'!I$2:I$172,1)+(COUNTIF('1. Datos'!I$2:I$172,'1. Datos'!I152)-1)/2</f>
        <v>57.5</v>
      </c>
      <c r="C152">
        <f>RANK('1. Datos'!J152,'1. Datos'!J$2:J$172,1)+(COUNTIF('1. Datos'!J$2:J$172,'1. Datos'!J152)-1)/2</f>
        <v>137.5</v>
      </c>
      <c r="D152">
        <f>RANK('1. Datos'!K152,'1. Datos'!K$2:K$172,1)+(COUNTIF('1. Datos'!K$2:K$172,'1. Datos'!K152)-1)/2</f>
        <v>11</v>
      </c>
      <c r="E152">
        <f>RANK('1. Datos'!L152,'1. Datos'!L$2:L$172,1)+(COUNTIF('1. Datos'!L$2:L$172,'1. Datos'!L152)-1)/2</f>
        <v>132</v>
      </c>
      <c r="F152">
        <f>RANK('1. Datos'!M152,'1. Datos'!M$2:M$172,1)+(COUNTIF('1. Datos'!M$2:M$172,'1. Datos'!M152)-1)/2</f>
        <v>57.5</v>
      </c>
      <c r="G152">
        <f>RANK('1. Datos'!N152,'1. Datos'!N$2:N$172,1)+(COUNTIF('1. Datos'!N$2:N$172,'1. Datos'!N152)-1)/2</f>
        <v>53</v>
      </c>
      <c r="H152">
        <f>RANK('1. Datos'!O152,'1. Datos'!O$2:O$172,1)+(COUNTIF('1. Datos'!O$2:O$172,'1. Datos'!O152)-1)/2</f>
        <v>126</v>
      </c>
      <c r="I152">
        <f>RANK('1. Datos'!P152,'1. Datos'!P$2:P$172,1)+(COUNTIF('1. Datos'!P$2:P$172,'1. Datos'!P152)-1)/2</f>
        <v>122</v>
      </c>
      <c r="J152">
        <f>RANK('1. Datos'!Q152,'1. Datos'!Q$2:Q$172,1)+(COUNTIF('1. Datos'!Q$2:Q$172,'1. Datos'!Q152)-1)/2</f>
        <v>38.5</v>
      </c>
      <c r="K152">
        <f>RANK('1. Datos'!R152,'1. Datos'!R$2:R$172,1)+(COUNTIF('1. Datos'!R$2:R$172,'1. Datos'!R152)-1)/2</f>
        <v>33.5</v>
      </c>
      <c r="L152">
        <f>RANK('1. Datos'!S152,'1. Datos'!S$2:S$172,1)+(COUNTIF('1. Datos'!S$2:S$172,'1. Datos'!S152)-1)/2</f>
        <v>51.5</v>
      </c>
    </row>
    <row r="153" spans="1:12" ht="15" customHeight="1" x14ac:dyDescent="0.45">
      <c r="A153">
        <f>RANK('1. Datos'!H153,'1. Datos'!H$2:H$172,1)+(COUNTIF('1. Datos'!H$2:H$172,'1. Datos'!H153)-1)/2</f>
        <v>41.5</v>
      </c>
      <c r="B153">
        <f>RANK('1. Datos'!I153,'1. Datos'!I$2:I$172,1)+(COUNTIF('1. Datos'!I$2:I$172,'1. Datos'!I153)-1)/2</f>
        <v>57.5</v>
      </c>
      <c r="C153">
        <f>RANK('1. Datos'!J153,'1. Datos'!J$2:J$172,1)+(COUNTIF('1. Datos'!J$2:J$172,'1. Datos'!J153)-1)/2</f>
        <v>62</v>
      </c>
      <c r="D153">
        <f>RANK('1. Datos'!K153,'1. Datos'!K$2:K$172,1)+(COUNTIF('1. Datos'!K$2:K$172,'1. Datos'!K153)-1)/2</f>
        <v>39</v>
      </c>
      <c r="E153">
        <f>RANK('1. Datos'!L153,'1. Datos'!L$2:L$172,1)+(COUNTIF('1. Datos'!L$2:L$172,'1. Datos'!L153)-1)/2</f>
        <v>55.5</v>
      </c>
      <c r="F153">
        <f>RANK('1. Datos'!M153,'1. Datos'!M$2:M$172,1)+(COUNTIF('1. Datos'!M$2:M$172,'1. Datos'!M153)-1)/2</f>
        <v>139.5</v>
      </c>
      <c r="G153">
        <f>RANK('1. Datos'!N153,'1. Datos'!N$2:N$172,1)+(COUNTIF('1. Datos'!N$2:N$172,'1. Datos'!N153)-1)/2</f>
        <v>53</v>
      </c>
      <c r="H153">
        <f>RANK('1. Datos'!O153,'1. Datos'!O$2:O$172,1)+(COUNTIF('1. Datos'!O$2:O$172,'1. Datos'!O153)-1)/2</f>
        <v>126</v>
      </c>
      <c r="I153">
        <f>RANK('1. Datos'!P153,'1. Datos'!P$2:P$172,1)+(COUNTIF('1. Datos'!P$2:P$172,'1. Datos'!P153)-1)/2</f>
        <v>41.5</v>
      </c>
      <c r="J153">
        <f>RANK('1. Datos'!Q153,'1. Datos'!Q$2:Q$172,1)+(COUNTIF('1. Datos'!Q$2:Q$172,'1. Datos'!Q153)-1)/2</f>
        <v>123</v>
      </c>
      <c r="K153">
        <f>RANK('1. Datos'!R153,'1. Datos'!R$2:R$172,1)+(COUNTIF('1. Datos'!R$2:R$172,'1. Datos'!R153)-1)/2</f>
        <v>118.5</v>
      </c>
      <c r="L153">
        <f>RANK('1. Datos'!S153,'1. Datos'!S$2:S$172,1)+(COUNTIF('1. Datos'!S$2:S$172,'1. Datos'!S153)-1)/2</f>
        <v>124.5</v>
      </c>
    </row>
    <row r="154" spans="1:12" ht="15" customHeight="1" x14ac:dyDescent="0.45">
      <c r="A154">
        <f>RANK('1. Datos'!H154,'1. Datos'!H$2:H$172,1)+(COUNTIF('1. Datos'!H$2:H$172,'1. Datos'!H154)-1)/2</f>
        <v>41.5</v>
      </c>
      <c r="B154">
        <f>RANK('1. Datos'!I154,'1. Datos'!I$2:I$172,1)+(COUNTIF('1. Datos'!I$2:I$172,'1. Datos'!I154)-1)/2</f>
        <v>57.5</v>
      </c>
      <c r="C154">
        <f>RANK('1. Datos'!J154,'1. Datos'!J$2:J$172,1)+(COUNTIF('1. Datos'!J$2:J$172,'1. Datos'!J154)-1)/2</f>
        <v>137.5</v>
      </c>
      <c r="D154">
        <f>RANK('1. Datos'!K154,'1. Datos'!K$2:K$172,1)+(COUNTIF('1. Datos'!K$2:K$172,'1. Datos'!K154)-1)/2</f>
        <v>149</v>
      </c>
      <c r="E154">
        <f>RANK('1. Datos'!L154,'1. Datos'!L$2:L$172,1)+(COUNTIF('1. Datos'!L$2:L$172,'1. Datos'!L154)-1)/2</f>
        <v>132</v>
      </c>
      <c r="F154">
        <f>RANK('1. Datos'!M154,'1. Datos'!M$2:M$172,1)+(COUNTIF('1. Datos'!M$2:M$172,'1. Datos'!M154)-1)/2</f>
        <v>57.5</v>
      </c>
      <c r="G154">
        <f>RANK('1. Datos'!N154,'1. Datos'!N$2:N$172,1)+(COUNTIF('1. Datos'!N$2:N$172,'1. Datos'!N154)-1)/2</f>
        <v>53</v>
      </c>
      <c r="H154">
        <f>RANK('1. Datos'!O154,'1. Datos'!O$2:O$172,1)+(COUNTIF('1. Datos'!O$2:O$172,'1. Datos'!O154)-1)/2</f>
        <v>49</v>
      </c>
      <c r="I154">
        <f>RANK('1. Datos'!P154,'1. Datos'!P$2:P$172,1)+(COUNTIF('1. Datos'!P$2:P$172,'1. Datos'!P154)-1)/2</f>
        <v>41.5</v>
      </c>
      <c r="J154">
        <f>RANK('1. Datos'!Q154,'1. Datos'!Q$2:Q$172,1)+(COUNTIF('1. Datos'!Q$2:Q$172,'1. Datos'!Q154)-1)/2</f>
        <v>38.5</v>
      </c>
      <c r="K154">
        <f>RANK('1. Datos'!R154,'1. Datos'!R$2:R$172,1)+(COUNTIF('1. Datos'!R$2:R$172,'1. Datos'!R154)-1)/2</f>
        <v>33.5</v>
      </c>
      <c r="L154">
        <f>RANK('1. Datos'!S154,'1. Datos'!S$2:S$172,1)+(COUNTIF('1. Datos'!S$2:S$172,'1. Datos'!S154)-1)/2</f>
        <v>51.5</v>
      </c>
    </row>
    <row r="155" spans="1:12" ht="15" customHeight="1" x14ac:dyDescent="0.45">
      <c r="A155">
        <f>RANK('1. Datos'!H155,'1. Datos'!H$2:H$172,1)+(COUNTIF('1. Datos'!H$2:H$172,'1. Datos'!H155)-1)/2</f>
        <v>125</v>
      </c>
      <c r="B155">
        <f>RANK('1. Datos'!I155,'1. Datos'!I$2:I$172,1)+(COUNTIF('1. Datos'!I$2:I$172,'1. Datos'!I155)-1)/2</f>
        <v>138</v>
      </c>
      <c r="C155">
        <f>RANK('1. Datos'!J155,'1. Datos'!J$2:J$172,1)+(COUNTIF('1. Datos'!J$2:J$172,'1. Datos'!J155)-1)/2</f>
        <v>62</v>
      </c>
      <c r="D155">
        <f>RANK('1. Datos'!K155,'1. Datos'!K$2:K$172,1)+(COUNTIF('1. Datos'!K$2:K$172,'1. Datos'!K155)-1)/2</f>
        <v>92.5</v>
      </c>
      <c r="E155">
        <f>RANK('1. Datos'!L155,'1. Datos'!L$2:L$172,1)+(COUNTIF('1. Datos'!L$2:L$172,'1. Datos'!L155)-1)/2</f>
        <v>55.5</v>
      </c>
      <c r="F155">
        <f>RANK('1. Datos'!M155,'1. Datos'!M$2:M$172,1)+(COUNTIF('1. Datos'!M$2:M$172,'1. Datos'!M155)-1)/2</f>
        <v>57.5</v>
      </c>
      <c r="G155">
        <f>RANK('1. Datos'!N155,'1. Datos'!N$2:N$172,1)+(COUNTIF('1. Datos'!N$2:N$172,'1. Datos'!N155)-1)/2</f>
        <v>127</v>
      </c>
      <c r="H155">
        <f>RANK('1. Datos'!O155,'1. Datos'!O$2:O$172,1)+(COUNTIF('1. Datos'!O$2:O$172,'1. Datos'!O155)-1)/2</f>
        <v>126</v>
      </c>
      <c r="I155">
        <f>RANK('1. Datos'!P155,'1. Datos'!P$2:P$172,1)+(COUNTIF('1. Datos'!P$2:P$172,'1. Datos'!P155)-1)/2</f>
        <v>41.5</v>
      </c>
      <c r="J155">
        <f>RANK('1. Datos'!Q155,'1. Datos'!Q$2:Q$172,1)+(COUNTIF('1. Datos'!Q$2:Q$172,'1. Datos'!Q155)-1)/2</f>
        <v>123</v>
      </c>
      <c r="K155">
        <f>RANK('1. Datos'!R155,'1. Datos'!R$2:R$172,1)+(COUNTIF('1. Datos'!R$2:R$172,'1. Datos'!R155)-1)/2</f>
        <v>33.5</v>
      </c>
      <c r="L155">
        <f>RANK('1. Datos'!S155,'1. Datos'!S$2:S$172,1)+(COUNTIF('1. Datos'!S$2:S$172,'1. Datos'!S155)-1)/2</f>
        <v>51.5</v>
      </c>
    </row>
    <row r="156" spans="1:12" ht="15" customHeight="1" x14ac:dyDescent="0.45">
      <c r="A156">
        <f>RANK('1. Datos'!H156,'1. Datos'!H$2:H$172,1)+(COUNTIF('1. Datos'!H$2:H$172,'1. Datos'!H156)-1)/2</f>
        <v>125</v>
      </c>
      <c r="B156">
        <f>RANK('1. Datos'!I156,'1. Datos'!I$2:I$172,1)+(COUNTIF('1. Datos'!I$2:I$172,'1. Datos'!I156)-1)/2</f>
        <v>57.5</v>
      </c>
      <c r="C156">
        <f>RANK('1. Datos'!J156,'1. Datos'!J$2:J$172,1)+(COUNTIF('1. Datos'!J$2:J$172,'1. Datos'!J156)-1)/2</f>
        <v>137.5</v>
      </c>
      <c r="D156">
        <f>RANK('1. Datos'!K156,'1. Datos'!K$2:K$172,1)+(COUNTIF('1. Datos'!K$2:K$172,'1. Datos'!K156)-1)/2</f>
        <v>39</v>
      </c>
      <c r="E156">
        <f>RANK('1. Datos'!L156,'1. Datos'!L$2:L$172,1)+(COUNTIF('1. Datos'!L$2:L$172,'1. Datos'!L156)-1)/2</f>
        <v>132</v>
      </c>
      <c r="F156">
        <f>RANK('1. Datos'!M156,'1. Datos'!M$2:M$172,1)+(COUNTIF('1. Datos'!M$2:M$172,'1. Datos'!M156)-1)/2</f>
        <v>57.5</v>
      </c>
      <c r="G156">
        <f>RANK('1. Datos'!N156,'1. Datos'!N$2:N$172,1)+(COUNTIF('1. Datos'!N$2:N$172,'1. Datos'!N156)-1)/2</f>
        <v>53</v>
      </c>
      <c r="H156">
        <f>RANK('1. Datos'!O156,'1. Datos'!O$2:O$172,1)+(COUNTIF('1. Datos'!O$2:O$172,'1. Datos'!O156)-1)/2</f>
        <v>49</v>
      </c>
      <c r="I156">
        <f>RANK('1. Datos'!P156,'1. Datos'!P$2:P$172,1)+(COUNTIF('1. Datos'!P$2:P$172,'1. Datos'!P156)-1)/2</f>
        <v>5.5</v>
      </c>
      <c r="J156">
        <f>RANK('1. Datos'!Q156,'1. Datos'!Q$2:Q$172,1)+(COUNTIF('1. Datos'!Q$2:Q$172,'1. Datos'!Q156)-1)/2</f>
        <v>38.5</v>
      </c>
      <c r="K156">
        <f>RANK('1. Datos'!R156,'1. Datos'!R$2:R$172,1)+(COUNTIF('1. Datos'!R$2:R$172,'1. Datos'!R156)-1)/2</f>
        <v>33.5</v>
      </c>
      <c r="L156">
        <f>RANK('1. Datos'!S156,'1. Datos'!S$2:S$172,1)+(COUNTIF('1. Datos'!S$2:S$172,'1. Datos'!S156)-1)/2</f>
        <v>14</v>
      </c>
    </row>
    <row r="157" spans="1:12" ht="15" customHeight="1" x14ac:dyDescent="0.45">
      <c r="A157">
        <f>RANK('1. Datos'!H157,'1. Datos'!H$2:H$172,1)+(COUNTIF('1. Datos'!H$2:H$172,'1. Datos'!H157)-1)/2</f>
        <v>41.5</v>
      </c>
      <c r="B157">
        <f>RANK('1. Datos'!I157,'1. Datos'!I$2:I$172,1)+(COUNTIF('1. Datos'!I$2:I$172,'1. Datos'!I157)-1)/2</f>
        <v>57.5</v>
      </c>
      <c r="C157">
        <f>RANK('1. Datos'!J157,'1. Datos'!J$2:J$172,1)+(COUNTIF('1. Datos'!J$2:J$172,'1. Datos'!J157)-1)/2</f>
        <v>62</v>
      </c>
      <c r="D157">
        <f>RANK('1. Datos'!K157,'1. Datos'!K$2:K$172,1)+(COUNTIF('1. Datos'!K$2:K$172,'1. Datos'!K157)-1)/2</f>
        <v>149</v>
      </c>
      <c r="E157">
        <f>RANK('1. Datos'!L157,'1. Datos'!L$2:L$172,1)+(COUNTIF('1. Datos'!L$2:L$172,'1. Datos'!L157)-1)/2</f>
        <v>132</v>
      </c>
      <c r="F157">
        <f>RANK('1. Datos'!M157,'1. Datos'!M$2:M$172,1)+(COUNTIF('1. Datos'!M$2:M$172,'1. Datos'!M157)-1)/2</f>
        <v>139.5</v>
      </c>
      <c r="G157">
        <f>RANK('1. Datos'!N157,'1. Datos'!N$2:N$172,1)+(COUNTIF('1. Datos'!N$2:N$172,'1. Datos'!N157)-1)/2</f>
        <v>127</v>
      </c>
      <c r="H157">
        <f>RANK('1. Datos'!O157,'1. Datos'!O$2:O$172,1)+(COUNTIF('1. Datos'!O$2:O$172,'1. Datos'!O157)-1)/2</f>
        <v>126</v>
      </c>
      <c r="I157">
        <f>RANK('1. Datos'!P157,'1. Datos'!P$2:P$172,1)+(COUNTIF('1. Datos'!P$2:P$172,'1. Datos'!P157)-1)/2</f>
        <v>41.5</v>
      </c>
      <c r="J157">
        <f>RANK('1. Datos'!Q157,'1. Datos'!Q$2:Q$172,1)+(COUNTIF('1. Datos'!Q$2:Q$172,'1. Datos'!Q157)-1)/2</f>
        <v>38.5</v>
      </c>
      <c r="K157">
        <f>RANK('1. Datos'!R157,'1. Datos'!R$2:R$172,1)+(COUNTIF('1. Datos'!R$2:R$172,'1. Datos'!R157)-1)/2</f>
        <v>33.5</v>
      </c>
      <c r="L157">
        <f>RANK('1. Datos'!S157,'1. Datos'!S$2:S$172,1)+(COUNTIF('1. Datos'!S$2:S$172,'1. Datos'!S157)-1)/2</f>
        <v>51.5</v>
      </c>
    </row>
    <row r="158" spans="1:12" ht="15" customHeight="1" x14ac:dyDescent="0.45">
      <c r="A158">
        <f>RANK('1. Datos'!H158,'1. Datos'!H$2:H$172,1)+(COUNTIF('1. Datos'!H$2:H$172,'1. Datos'!H158)-1)/2</f>
        <v>125</v>
      </c>
      <c r="B158">
        <f>RANK('1. Datos'!I158,'1. Datos'!I$2:I$172,1)+(COUNTIF('1. Datos'!I$2:I$172,'1. Datos'!I158)-1)/2</f>
        <v>138</v>
      </c>
      <c r="C158">
        <f>RANK('1. Datos'!J158,'1. Datos'!J$2:J$172,1)+(COUNTIF('1. Datos'!J$2:J$172,'1. Datos'!J158)-1)/2</f>
        <v>10.5</v>
      </c>
      <c r="D158">
        <f>RANK('1. Datos'!K158,'1. Datos'!K$2:K$172,1)+(COUNTIF('1. Datos'!K$2:K$172,'1. Datos'!K158)-1)/2</f>
        <v>39</v>
      </c>
      <c r="E158">
        <f>RANK('1. Datos'!L158,'1. Datos'!L$2:L$172,1)+(COUNTIF('1. Datos'!L$2:L$172,'1. Datos'!L158)-1)/2</f>
        <v>55.5</v>
      </c>
      <c r="F158">
        <f>RANK('1. Datos'!M158,'1. Datos'!M$2:M$172,1)+(COUNTIF('1. Datos'!M$2:M$172,'1. Datos'!M158)-1)/2</f>
        <v>139.5</v>
      </c>
      <c r="G158">
        <f>RANK('1. Datos'!N158,'1. Datos'!N$2:N$172,1)+(COUNTIF('1. Datos'!N$2:N$172,'1. Datos'!N158)-1)/2</f>
        <v>53</v>
      </c>
      <c r="H158">
        <f>RANK('1. Datos'!O158,'1. Datos'!O$2:O$172,1)+(COUNTIF('1. Datos'!O$2:O$172,'1. Datos'!O158)-1)/2</f>
        <v>49</v>
      </c>
      <c r="I158">
        <f>RANK('1. Datos'!P158,'1. Datos'!P$2:P$172,1)+(COUNTIF('1. Datos'!P$2:P$172,'1. Datos'!P158)-1)/2</f>
        <v>41.5</v>
      </c>
      <c r="J158">
        <f>RANK('1. Datos'!Q158,'1. Datos'!Q$2:Q$172,1)+(COUNTIF('1. Datos'!Q$2:Q$172,'1. Datos'!Q158)-1)/2</f>
        <v>123</v>
      </c>
      <c r="K158">
        <f>RANK('1. Datos'!R158,'1. Datos'!R$2:R$172,1)+(COUNTIF('1. Datos'!R$2:R$172,'1. Datos'!R158)-1)/2</f>
        <v>118.5</v>
      </c>
      <c r="L158">
        <f>RANK('1. Datos'!S158,'1. Datos'!S$2:S$172,1)+(COUNTIF('1. Datos'!S$2:S$172,'1. Datos'!S158)-1)/2</f>
        <v>124.5</v>
      </c>
    </row>
    <row r="159" spans="1:12" ht="15" customHeight="1" x14ac:dyDescent="0.45">
      <c r="A159">
        <f>RANK('1. Datos'!H159,'1. Datos'!H$2:H$172,1)+(COUNTIF('1. Datos'!H$2:H$172,'1. Datos'!H159)-1)/2</f>
        <v>41.5</v>
      </c>
      <c r="B159">
        <f>RANK('1. Datos'!I159,'1. Datos'!I$2:I$172,1)+(COUNTIF('1. Datos'!I$2:I$172,'1. Datos'!I159)-1)/2</f>
        <v>57.5</v>
      </c>
      <c r="C159">
        <f>RANK('1. Datos'!J159,'1. Datos'!J$2:J$172,1)+(COUNTIF('1. Datos'!J$2:J$172,'1. Datos'!J159)-1)/2</f>
        <v>62</v>
      </c>
      <c r="D159">
        <f>RANK('1. Datos'!K159,'1. Datos'!K$2:K$172,1)+(COUNTIF('1. Datos'!K$2:K$172,'1. Datos'!K159)-1)/2</f>
        <v>92.5</v>
      </c>
      <c r="E159">
        <f>RANK('1. Datos'!L159,'1. Datos'!L$2:L$172,1)+(COUNTIF('1. Datos'!L$2:L$172,'1. Datos'!L159)-1)/2</f>
        <v>55.5</v>
      </c>
      <c r="F159">
        <f>RANK('1. Datos'!M159,'1. Datos'!M$2:M$172,1)+(COUNTIF('1. Datos'!M$2:M$172,'1. Datos'!M159)-1)/2</f>
        <v>57.5</v>
      </c>
      <c r="G159">
        <f>RANK('1. Datos'!N159,'1. Datos'!N$2:N$172,1)+(COUNTIF('1. Datos'!N$2:N$172,'1. Datos'!N159)-1)/2</f>
        <v>16</v>
      </c>
      <c r="H159">
        <f>RANK('1. Datos'!O159,'1. Datos'!O$2:O$172,1)+(COUNTIF('1. Datos'!O$2:O$172,'1. Datos'!O159)-1)/2</f>
        <v>126</v>
      </c>
      <c r="I159">
        <f>RANK('1. Datos'!P159,'1. Datos'!P$2:P$172,1)+(COUNTIF('1. Datos'!P$2:P$172,'1. Datos'!P159)-1)/2</f>
        <v>122</v>
      </c>
      <c r="J159">
        <f>RANK('1. Datos'!Q159,'1. Datos'!Q$2:Q$172,1)+(COUNTIF('1. Datos'!Q$2:Q$172,'1. Datos'!Q159)-1)/2</f>
        <v>123</v>
      </c>
      <c r="K159">
        <f>RANK('1. Datos'!R159,'1. Datos'!R$2:R$172,1)+(COUNTIF('1. Datos'!R$2:R$172,'1. Datos'!R159)-1)/2</f>
        <v>118.5</v>
      </c>
      <c r="L159">
        <f>RANK('1. Datos'!S159,'1. Datos'!S$2:S$172,1)+(COUNTIF('1. Datos'!S$2:S$172,'1. Datos'!S159)-1)/2</f>
        <v>14</v>
      </c>
    </row>
    <row r="160" spans="1:12" ht="15" customHeight="1" x14ac:dyDescent="0.45">
      <c r="A160">
        <f>RANK('1. Datos'!H160,'1. Datos'!H$2:H$172,1)+(COUNTIF('1. Datos'!H$2:H$172,'1. Datos'!H160)-1)/2</f>
        <v>125</v>
      </c>
      <c r="B160">
        <f>RANK('1. Datos'!I160,'1. Datos'!I$2:I$172,1)+(COUNTIF('1. Datos'!I$2:I$172,'1. Datos'!I160)-1)/2</f>
        <v>57.5</v>
      </c>
      <c r="C160">
        <f>RANK('1. Datos'!J160,'1. Datos'!J$2:J$172,1)+(COUNTIF('1. Datos'!J$2:J$172,'1. Datos'!J160)-1)/2</f>
        <v>137.5</v>
      </c>
      <c r="D160">
        <f>RANK('1. Datos'!K160,'1. Datos'!K$2:K$172,1)+(COUNTIF('1. Datos'!K$2:K$172,'1. Datos'!K160)-1)/2</f>
        <v>149</v>
      </c>
      <c r="E160">
        <f>RANK('1. Datos'!L160,'1. Datos'!L$2:L$172,1)+(COUNTIF('1. Datos'!L$2:L$172,'1. Datos'!L160)-1)/2</f>
        <v>132</v>
      </c>
      <c r="F160">
        <f>RANK('1. Datos'!M160,'1. Datos'!M$2:M$172,1)+(COUNTIF('1. Datos'!M$2:M$172,'1. Datos'!M160)-1)/2</f>
        <v>57.5</v>
      </c>
      <c r="G160">
        <f>RANK('1. Datos'!N160,'1. Datos'!N$2:N$172,1)+(COUNTIF('1. Datos'!N$2:N$172,'1. Datos'!N160)-1)/2</f>
        <v>4.5</v>
      </c>
      <c r="H160">
        <f>RANK('1. Datos'!O160,'1. Datos'!O$2:O$172,1)+(COUNTIF('1. Datos'!O$2:O$172,'1. Datos'!O160)-1)/2</f>
        <v>9.5</v>
      </c>
      <c r="I160">
        <f>RANK('1. Datos'!P160,'1. Datos'!P$2:P$172,1)+(COUNTIF('1. Datos'!P$2:P$172,'1. Datos'!P160)-1)/2</f>
        <v>41.5</v>
      </c>
      <c r="J160">
        <f>RANK('1. Datos'!Q160,'1. Datos'!Q$2:Q$172,1)+(COUNTIF('1. Datos'!Q$2:Q$172,'1. Datos'!Q160)-1)/2</f>
        <v>123</v>
      </c>
      <c r="K160">
        <f>RANK('1. Datos'!R160,'1. Datos'!R$2:R$172,1)+(COUNTIF('1. Datos'!R$2:R$172,'1. Datos'!R160)-1)/2</f>
        <v>33.5</v>
      </c>
      <c r="L160">
        <f>RANK('1. Datos'!S160,'1. Datos'!S$2:S$172,1)+(COUNTIF('1. Datos'!S$2:S$172,'1. Datos'!S160)-1)/2</f>
        <v>51.5</v>
      </c>
    </row>
    <row r="161" spans="1:12" ht="15" customHeight="1" x14ac:dyDescent="0.45">
      <c r="A161">
        <f>RANK('1. Datos'!H161,'1. Datos'!H$2:H$172,1)+(COUNTIF('1. Datos'!H$2:H$172,'1. Datos'!H161)-1)/2</f>
        <v>41.5</v>
      </c>
      <c r="B161">
        <f>RANK('1. Datos'!I161,'1. Datos'!I$2:I$172,1)+(COUNTIF('1. Datos'!I$2:I$172,'1. Datos'!I161)-1)/2</f>
        <v>57.5</v>
      </c>
      <c r="C161">
        <f>RANK('1. Datos'!J161,'1. Datos'!J$2:J$172,1)+(COUNTIF('1. Datos'!J$2:J$172,'1. Datos'!J161)-1)/2</f>
        <v>137.5</v>
      </c>
      <c r="D161">
        <f>RANK('1. Datos'!K161,'1. Datos'!K$2:K$172,1)+(COUNTIF('1. Datos'!K$2:K$172,'1. Datos'!K161)-1)/2</f>
        <v>149</v>
      </c>
      <c r="E161">
        <f>RANK('1. Datos'!L161,'1. Datos'!L$2:L$172,1)+(COUNTIF('1. Datos'!L$2:L$172,'1. Datos'!L161)-1)/2</f>
        <v>132</v>
      </c>
      <c r="F161">
        <f>RANK('1. Datos'!M161,'1. Datos'!M$2:M$172,1)+(COUNTIF('1. Datos'!M$2:M$172,'1. Datos'!M161)-1)/2</f>
        <v>57.5</v>
      </c>
      <c r="G161">
        <f>RANK('1. Datos'!N161,'1. Datos'!N$2:N$172,1)+(COUNTIF('1. Datos'!N$2:N$172,'1. Datos'!N161)-1)/2</f>
        <v>16</v>
      </c>
      <c r="H161">
        <f>RANK('1. Datos'!O161,'1. Datos'!O$2:O$172,1)+(COUNTIF('1. Datos'!O$2:O$172,'1. Datos'!O161)-1)/2</f>
        <v>9.5</v>
      </c>
      <c r="I161">
        <f>RANK('1. Datos'!P161,'1. Datos'!P$2:P$172,1)+(COUNTIF('1. Datos'!P$2:P$172,'1. Datos'!P161)-1)/2</f>
        <v>122</v>
      </c>
      <c r="J161">
        <f>RANK('1. Datos'!Q161,'1. Datos'!Q$2:Q$172,1)+(COUNTIF('1. Datos'!Q$2:Q$172,'1. Datos'!Q161)-1)/2</f>
        <v>123</v>
      </c>
      <c r="K161">
        <f>RANK('1. Datos'!R161,'1. Datos'!R$2:R$172,1)+(COUNTIF('1. Datos'!R$2:R$172,'1. Datos'!R161)-1)/2</f>
        <v>118.5</v>
      </c>
      <c r="L161">
        <f>RANK('1. Datos'!S161,'1. Datos'!S$2:S$172,1)+(COUNTIF('1. Datos'!S$2:S$172,'1. Datos'!S161)-1)/2</f>
        <v>51.5</v>
      </c>
    </row>
    <row r="162" spans="1:12" ht="15" customHeight="1" x14ac:dyDescent="0.45">
      <c r="A162">
        <f>RANK('1. Datos'!H162,'1. Datos'!H$2:H$172,1)+(COUNTIF('1. Datos'!H$2:H$172,'1. Datos'!H162)-1)/2</f>
        <v>41.5</v>
      </c>
      <c r="B162">
        <f>RANK('1. Datos'!I162,'1. Datos'!I$2:I$172,1)+(COUNTIF('1. Datos'!I$2:I$172,'1. Datos'!I162)-1)/2</f>
        <v>57.5</v>
      </c>
      <c r="C162">
        <f>RANK('1. Datos'!J162,'1. Datos'!J$2:J$172,1)+(COUNTIF('1. Datos'!J$2:J$172,'1. Datos'!J162)-1)/2</f>
        <v>10.5</v>
      </c>
      <c r="D162">
        <f>RANK('1. Datos'!K162,'1. Datos'!K$2:K$172,1)+(COUNTIF('1. Datos'!K$2:K$172,'1. Datos'!K162)-1)/2</f>
        <v>92.5</v>
      </c>
      <c r="E162">
        <f>RANK('1. Datos'!L162,'1. Datos'!L$2:L$172,1)+(COUNTIF('1. Datos'!L$2:L$172,'1. Datos'!L162)-1)/2</f>
        <v>55.5</v>
      </c>
      <c r="F162">
        <f>RANK('1. Datos'!M162,'1. Datos'!M$2:M$172,1)+(COUNTIF('1. Datos'!M$2:M$172,'1. Datos'!M162)-1)/2</f>
        <v>139.5</v>
      </c>
      <c r="G162">
        <f>RANK('1. Datos'!N162,'1. Datos'!N$2:N$172,1)+(COUNTIF('1. Datos'!N$2:N$172,'1. Datos'!N162)-1)/2</f>
        <v>127</v>
      </c>
      <c r="H162">
        <f>RANK('1. Datos'!O162,'1. Datos'!O$2:O$172,1)+(COUNTIF('1. Datos'!O$2:O$172,'1. Datos'!O162)-1)/2</f>
        <v>49</v>
      </c>
      <c r="I162">
        <f>RANK('1. Datos'!P162,'1. Datos'!P$2:P$172,1)+(COUNTIF('1. Datos'!P$2:P$172,'1. Datos'!P162)-1)/2</f>
        <v>41.5</v>
      </c>
      <c r="J162">
        <f>RANK('1. Datos'!Q162,'1. Datos'!Q$2:Q$172,1)+(COUNTIF('1. Datos'!Q$2:Q$172,'1. Datos'!Q162)-1)/2</f>
        <v>38.5</v>
      </c>
      <c r="K162">
        <f>RANK('1. Datos'!R162,'1. Datos'!R$2:R$172,1)+(COUNTIF('1. Datos'!R$2:R$172,'1. Datos'!R162)-1)/2</f>
        <v>118.5</v>
      </c>
      <c r="L162">
        <f>RANK('1. Datos'!S162,'1. Datos'!S$2:S$172,1)+(COUNTIF('1. Datos'!S$2:S$172,'1. Datos'!S162)-1)/2</f>
        <v>51.5</v>
      </c>
    </row>
    <row r="163" spans="1:12" ht="15" customHeight="1" x14ac:dyDescent="0.45">
      <c r="A163">
        <f>RANK('1. Datos'!H163,'1. Datos'!H$2:H$172,1)+(COUNTIF('1. Datos'!H$2:H$172,'1. Datos'!H163)-1)/2</f>
        <v>125</v>
      </c>
      <c r="B163">
        <f>RANK('1. Datos'!I163,'1. Datos'!I$2:I$172,1)+(COUNTIF('1. Datos'!I$2:I$172,'1. Datos'!I163)-1)/2</f>
        <v>138</v>
      </c>
      <c r="C163">
        <f>RANK('1. Datos'!J163,'1. Datos'!J$2:J$172,1)+(COUNTIF('1. Datos'!J$2:J$172,'1. Datos'!J163)-1)/2</f>
        <v>10.5</v>
      </c>
      <c r="D163">
        <f>RANK('1. Datos'!K163,'1. Datos'!K$2:K$172,1)+(COUNTIF('1. Datos'!K$2:K$172,'1. Datos'!K163)-1)/2</f>
        <v>92.5</v>
      </c>
      <c r="E163">
        <f>RANK('1. Datos'!L163,'1. Datos'!L$2:L$172,1)+(COUNTIF('1. Datos'!L$2:L$172,'1. Datos'!L163)-1)/2</f>
        <v>55.5</v>
      </c>
      <c r="F163">
        <f>RANK('1. Datos'!M163,'1. Datos'!M$2:M$172,1)+(COUNTIF('1. Datos'!M$2:M$172,'1. Datos'!M163)-1)/2</f>
        <v>57.5</v>
      </c>
      <c r="G163">
        <f>RANK('1. Datos'!N163,'1. Datos'!N$2:N$172,1)+(COUNTIF('1. Datos'!N$2:N$172,'1. Datos'!N163)-1)/2</f>
        <v>53</v>
      </c>
      <c r="H163">
        <f>RANK('1. Datos'!O163,'1. Datos'!O$2:O$172,1)+(COUNTIF('1. Datos'!O$2:O$172,'1. Datos'!O163)-1)/2</f>
        <v>126</v>
      </c>
      <c r="I163">
        <f>RANK('1. Datos'!P163,'1. Datos'!P$2:P$172,1)+(COUNTIF('1. Datos'!P$2:P$172,'1. Datos'!P163)-1)/2</f>
        <v>122</v>
      </c>
      <c r="J163">
        <f>RANK('1. Datos'!Q163,'1. Datos'!Q$2:Q$172,1)+(COUNTIF('1. Datos'!Q$2:Q$172,'1. Datos'!Q163)-1)/2</f>
        <v>38.5</v>
      </c>
      <c r="K163">
        <f>RANK('1. Datos'!R163,'1. Datos'!R$2:R$172,1)+(COUNTIF('1. Datos'!R$2:R$172,'1. Datos'!R163)-1)/2</f>
        <v>118.5</v>
      </c>
      <c r="L163">
        <f>RANK('1. Datos'!S163,'1. Datos'!S$2:S$172,1)+(COUNTIF('1. Datos'!S$2:S$172,'1. Datos'!S163)-1)/2</f>
        <v>51.5</v>
      </c>
    </row>
    <row r="164" spans="1:12" ht="15" customHeight="1" x14ac:dyDescent="0.45">
      <c r="A164">
        <f>RANK('1. Datos'!H164,'1. Datos'!H$2:H$172,1)+(COUNTIF('1. Datos'!H$2:H$172,'1. Datos'!H164)-1)/2</f>
        <v>41.5</v>
      </c>
      <c r="B164">
        <f>RANK('1. Datos'!I164,'1. Datos'!I$2:I$172,1)+(COUNTIF('1. Datos'!I$2:I$172,'1. Datos'!I164)-1)/2</f>
        <v>57.5</v>
      </c>
      <c r="C164">
        <f>RANK('1. Datos'!J164,'1. Datos'!J$2:J$172,1)+(COUNTIF('1. Datos'!J$2:J$172,'1. Datos'!J164)-1)/2</f>
        <v>62</v>
      </c>
      <c r="D164">
        <f>RANK('1. Datos'!K164,'1. Datos'!K$2:K$172,1)+(COUNTIF('1. Datos'!K$2:K$172,'1. Datos'!K164)-1)/2</f>
        <v>39</v>
      </c>
      <c r="E164">
        <f>RANK('1. Datos'!L164,'1. Datos'!L$2:L$172,1)+(COUNTIF('1. Datos'!L$2:L$172,'1. Datos'!L164)-1)/2</f>
        <v>10.5</v>
      </c>
      <c r="F164">
        <f>RANK('1. Datos'!M164,'1. Datos'!M$2:M$172,1)+(COUNTIF('1. Datos'!M$2:M$172,'1. Datos'!M164)-1)/2</f>
        <v>57.5</v>
      </c>
      <c r="G164">
        <f>RANK('1. Datos'!N164,'1. Datos'!N$2:N$172,1)+(COUNTIF('1. Datos'!N$2:N$172,'1. Datos'!N164)-1)/2</f>
        <v>53</v>
      </c>
      <c r="H164">
        <f>RANK('1. Datos'!O164,'1. Datos'!O$2:O$172,1)+(COUNTIF('1. Datos'!O$2:O$172,'1. Datos'!O164)-1)/2</f>
        <v>126</v>
      </c>
      <c r="I164">
        <f>RANK('1. Datos'!P164,'1. Datos'!P$2:P$172,1)+(COUNTIF('1. Datos'!P$2:P$172,'1. Datos'!P164)-1)/2</f>
        <v>122</v>
      </c>
      <c r="J164">
        <f>RANK('1. Datos'!Q164,'1. Datos'!Q$2:Q$172,1)+(COUNTIF('1. Datos'!Q$2:Q$172,'1. Datos'!Q164)-1)/2</f>
        <v>38.5</v>
      </c>
      <c r="K164">
        <f>RANK('1. Datos'!R164,'1. Datos'!R$2:R$172,1)+(COUNTIF('1. Datos'!R$2:R$172,'1. Datos'!R164)-1)/2</f>
        <v>118.5</v>
      </c>
      <c r="L164">
        <f>RANK('1. Datos'!S164,'1. Datos'!S$2:S$172,1)+(COUNTIF('1. Datos'!S$2:S$172,'1. Datos'!S164)-1)/2</f>
        <v>124.5</v>
      </c>
    </row>
    <row r="165" spans="1:12" ht="15" customHeight="1" x14ac:dyDescent="0.45">
      <c r="A165">
        <f>RANK('1. Datos'!H165,'1. Datos'!H$2:H$172,1)+(COUNTIF('1. Datos'!H$2:H$172,'1. Datos'!H165)-1)/2</f>
        <v>125</v>
      </c>
      <c r="B165">
        <f>RANK('1. Datos'!I165,'1. Datos'!I$2:I$172,1)+(COUNTIF('1. Datos'!I$2:I$172,'1. Datos'!I165)-1)/2</f>
        <v>138</v>
      </c>
      <c r="C165">
        <f>RANK('1. Datos'!J165,'1. Datos'!J$2:J$172,1)+(COUNTIF('1. Datos'!J$2:J$172,'1. Datos'!J165)-1)/2</f>
        <v>62</v>
      </c>
      <c r="D165">
        <f>RANK('1. Datos'!K165,'1. Datos'!K$2:K$172,1)+(COUNTIF('1. Datos'!K$2:K$172,'1. Datos'!K165)-1)/2</f>
        <v>39</v>
      </c>
      <c r="E165">
        <f>RANK('1. Datos'!L165,'1. Datos'!L$2:L$172,1)+(COUNTIF('1. Datos'!L$2:L$172,'1. Datos'!L165)-1)/2</f>
        <v>132</v>
      </c>
      <c r="F165">
        <f>RANK('1. Datos'!M165,'1. Datos'!M$2:M$172,1)+(COUNTIF('1. Datos'!M$2:M$172,'1. Datos'!M165)-1)/2</f>
        <v>57.5</v>
      </c>
      <c r="G165">
        <f>RANK('1. Datos'!N165,'1. Datos'!N$2:N$172,1)+(COUNTIF('1. Datos'!N$2:N$172,'1. Datos'!N165)-1)/2</f>
        <v>4.5</v>
      </c>
      <c r="H165">
        <f>RANK('1. Datos'!O165,'1. Datos'!O$2:O$172,1)+(COUNTIF('1. Datos'!O$2:O$172,'1. Datos'!O165)-1)/2</f>
        <v>49</v>
      </c>
      <c r="I165">
        <f>RANK('1. Datos'!P165,'1. Datos'!P$2:P$172,1)+(COUNTIF('1. Datos'!P$2:P$172,'1. Datos'!P165)-1)/2</f>
        <v>122</v>
      </c>
      <c r="J165">
        <f>RANK('1. Datos'!Q165,'1. Datos'!Q$2:Q$172,1)+(COUNTIF('1. Datos'!Q$2:Q$172,'1. Datos'!Q165)-1)/2</f>
        <v>123</v>
      </c>
      <c r="K165">
        <f>RANK('1. Datos'!R165,'1. Datos'!R$2:R$172,1)+(COUNTIF('1. Datos'!R$2:R$172,'1. Datos'!R165)-1)/2</f>
        <v>33.5</v>
      </c>
      <c r="L165">
        <f>RANK('1. Datos'!S165,'1. Datos'!S$2:S$172,1)+(COUNTIF('1. Datos'!S$2:S$172,'1. Datos'!S165)-1)/2</f>
        <v>51.5</v>
      </c>
    </row>
    <row r="166" spans="1:12" ht="15" customHeight="1" x14ac:dyDescent="0.45">
      <c r="A166">
        <f>RANK('1. Datos'!H166,'1. Datos'!H$2:H$172,1)+(COUNTIF('1. Datos'!H$2:H$172,'1. Datos'!H166)-1)/2</f>
        <v>41.5</v>
      </c>
      <c r="B166">
        <f>RANK('1. Datos'!I166,'1. Datos'!I$2:I$172,1)+(COUNTIF('1. Datos'!I$2:I$172,'1. Datos'!I166)-1)/2</f>
        <v>57.5</v>
      </c>
      <c r="C166">
        <f>RANK('1. Datos'!J166,'1. Datos'!J$2:J$172,1)+(COUNTIF('1. Datos'!J$2:J$172,'1. Datos'!J166)-1)/2</f>
        <v>62</v>
      </c>
      <c r="D166">
        <f>RANK('1. Datos'!K166,'1. Datos'!K$2:K$172,1)+(COUNTIF('1. Datos'!K$2:K$172,'1. Datos'!K166)-1)/2</f>
        <v>149</v>
      </c>
      <c r="E166">
        <f>RANK('1. Datos'!L166,'1. Datos'!L$2:L$172,1)+(COUNTIF('1. Datos'!L$2:L$172,'1. Datos'!L166)-1)/2</f>
        <v>55.5</v>
      </c>
      <c r="F166">
        <f>RANK('1. Datos'!M166,'1. Datos'!M$2:M$172,1)+(COUNTIF('1. Datos'!M$2:M$172,'1. Datos'!M166)-1)/2</f>
        <v>139.5</v>
      </c>
      <c r="G166">
        <f>RANK('1. Datos'!N166,'1. Datos'!N$2:N$172,1)+(COUNTIF('1. Datos'!N$2:N$172,'1. Datos'!N166)-1)/2</f>
        <v>53</v>
      </c>
      <c r="H166">
        <f>RANK('1. Datos'!O166,'1. Datos'!O$2:O$172,1)+(COUNTIF('1. Datos'!O$2:O$172,'1. Datos'!O166)-1)/2</f>
        <v>126</v>
      </c>
      <c r="I166">
        <f>RANK('1. Datos'!P166,'1. Datos'!P$2:P$172,1)+(COUNTIF('1. Datos'!P$2:P$172,'1. Datos'!P166)-1)/2</f>
        <v>41.5</v>
      </c>
      <c r="J166">
        <f>RANK('1. Datos'!Q166,'1. Datos'!Q$2:Q$172,1)+(COUNTIF('1. Datos'!Q$2:Q$172,'1. Datos'!Q166)-1)/2</f>
        <v>38.5</v>
      </c>
      <c r="K166">
        <f>RANK('1. Datos'!R166,'1. Datos'!R$2:R$172,1)+(COUNTIF('1. Datos'!R$2:R$172,'1. Datos'!R166)-1)/2</f>
        <v>33.5</v>
      </c>
      <c r="L166">
        <f>RANK('1. Datos'!S166,'1. Datos'!S$2:S$172,1)+(COUNTIF('1. Datos'!S$2:S$172,'1. Datos'!S166)-1)/2</f>
        <v>14</v>
      </c>
    </row>
    <row r="167" spans="1:12" ht="15" customHeight="1" x14ac:dyDescent="0.45">
      <c r="A167">
        <f>RANK('1. Datos'!H167,'1. Datos'!H$2:H$172,1)+(COUNTIF('1. Datos'!H$2:H$172,'1. Datos'!H167)-1)/2</f>
        <v>125</v>
      </c>
      <c r="B167">
        <f>RANK('1. Datos'!I167,'1. Datos'!I$2:I$172,1)+(COUNTIF('1. Datos'!I$2:I$172,'1. Datos'!I167)-1)/2</f>
        <v>138</v>
      </c>
      <c r="C167">
        <f>RANK('1. Datos'!J167,'1. Datos'!J$2:J$172,1)+(COUNTIF('1. Datos'!J$2:J$172,'1. Datos'!J167)-1)/2</f>
        <v>62</v>
      </c>
      <c r="D167">
        <f>RANK('1. Datos'!K167,'1. Datos'!K$2:K$172,1)+(COUNTIF('1. Datos'!K$2:K$172,'1. Datos'!K167)-1)/2</f>
        <v>39</v>
      </c>
      <c r="E167">
        <f>RANK('1. Datos'!L167,'1. Datos'!L$2:L$172,1)+(COUNTIF('1. Datos'!L$2:L$172,'1. Datos'!L167)-1)/2</f>
        <v>132</v>
      </c>
      <c r="F167">
        <f>RANK('1. Datos'!M167,'1. Datos'!M$2:M$172,1)+(COUNTIF('1. Datos'!M$2:M$172,'1. Datos'!M167)-1)/2</f>
        <v>57.5</v>
      </c>
      <c r="G167">
        <f>RANK('1. Datos'!N167,'1. Datos'!N$2:N$172,1)+(COUNTIF('1. Datos'!N$2:N$172,'1. Datos'!N167)-1)/2</f>
        <v>127</v>
      </c>
      <c r="H167">
        <f>RANK('1. Datos'!O167,'1. Datos'!O$2:O$172,1)+(COUNTIF('1. Datos'!O$2:O$172,'1. Datos'!O167)-1)/2</f>
        <v>126</v>
      </c>
      <c r="I167">
        <f>RANK('1. Datos'!P167,'1. Datos'!P$2:P$172,1)+(COUNTIF('1. Datos'!P$2:P$172,'1. Datos'!P167)-1)/2</f>
        <v>122</v>
      </c>
      <c r="J167">
        <f>RANK('1. Datos'!Q167,'1. Datos'!Q$2:Q$172,1)+(COUNTIF('1. Datos'!Q$2:Q$172,'1. Datos'!Q167)-1)/2</f>
        <v>123</v>
      </c>
      <c r="K167">
        <f>RANK('1. Datos'!R167,'1. Datos'!R$2:R$172,1)+(COUNTIF('1. Datos'!R$2:R$172,'1. Datos'!R167)-1)/2</f>
        <v>118.5</v>
      </c>
      <c r="L167">
        <f>RANK('1. Datos'!S167,'1. Datos'!S$2:S$172,1)+(COUNTIF('1. Datos'!S$2:S$172,'1. Datos'!S167)-1)/2</f>
        <v>124.5</v>
      </c>
    </row>
    <row r="168" spans="1:12" ht="15" customHeight="1" x14ac:dyDescent="0.45">
      <c r="A168">
        <f>RANK('1. Datos'!H168,'1. Datos'!H$2:H$172,1)+(COUNTIF('1. Datos'!H$2:H$172,'1. Datos'!H168)-1)/2</f>
        <v>125</v>
      </c>
      <c r="B168">
        <f>RANK('1. Datos'!I168,'1. Datos'!I$2:I$172,1)+(COUNTIF('1. Datos'!I$2:I$172,'1. Datos'!I168)-1)/2</f>
        <v>57.5</v>
      </c>
      <c r="C168">
        <f>RANK('1. Datos'!J168,'1. Datos'!J$2:J$172,1)+(COUNTIF('1. Datos'!J$2:J$172,'1. Datos'!J168)-1)/2</f>
        <v>62</v>
      </c>
      <c r="D168">
        <f>RANK('1. Datos'!K168,'1. Datos'!K$2:K$172,1)+(COUNTIF('1. Datos'!K$2:K$172,'1. Datos'!K168)-1)/2</f>
        <v>149</v>
      </c>
      <c r="E168">
        <f>RANK('1. Datos'!L168,'1. Datos'!L$2:L$172,1)+(COUNTIF('1. Datos'!L$2:L$172,'1. Datos'!L168)-1)/2</f>
        <v>132</v>
      </c>
      <c r="F168">
        <f>RANK('1. Datos'!M168,'1. Datos'!M$2:M$172,1)+(COUNTIF('1. Datos'!M$2:M$172,'1. Datos'!M168)-1)/2</f>
        <v>57.5</v>
      </c>
      <c r="G168">
        <f>RANK('1. Datos'!N168,'1. Datos'!N$2:N$172,1)+(COUNTIF('1. Datos'!N$2:N$172,'1. Datos'!N168)-1)/2</f>
        <v>53</v>
      </c>
      <c r="H168">
        <f>RANK('1. Datos'!O168,'1. Datos'!O$2:O$172,1)+(COUNTIF('1. Datos'!O$2:O$172,'1. Datos'!O168)-1)/2</f>
        <v>49</v>
      </c>
      <c r="I168">
        <f>RANK('1. Datos'!P168,'1. Datos'!P$2:P$172,1)+(COUNTIF('1. Datos'!P$2:P$172,'1. Datos'!P168)-1)/2</f>
        <v>122</v>
      </c>
      <c r="J168">
        <f>RANK('1. Datos'!Q168,'1. Datos'!Q$2:Q$172,1)+(COUNTIF('1. Datos'!Q$2:Q$172,'1. Datos'!Q168)-1)/2</f>
        <v>123</v>
      </c>
      <c r="K168">
        <f>RANK('1. Datos'!R168,'1. Datos'!R$2:R$172,1)+(COUNTIF('1. Datos'!R$2:R$172,'1. Datos'!R168)-1)/2</f>
        <v>118.5</v>
      </c>
      <c r="L168">
        <f>RANK('1. Datos'!S168,'1. Datos'!S$2:S$172,1)+(COUNTIF('1. Datos'!S$2:S$172,'1. Datos'!S168)-1)/2</f>
        <v>14</v>
      </c>
    </row>
    <row r="169" spans="1:12" ht="15" customHeight="1" x14ac:dyDescent="0.45">
      <c r="A169">
        <f>RANK('1. Datos'!H169,'1. Datos'!H$2:H$172,1)+(COUNTIF('1. Datos'!H$2:H$172,'1. Datos'!H169)-1)/2</f>
        <v>41.5</v>
      </c>
      <c r="B169">
        <f>RANK('1. Datos'!I169,'1. Datos'!I$2:I$172,1)+(COUNTIF('1. Datos'!I$2:I$172,'1. Datos'!I169)-1)/2</f>
        <v>138</v>
      </c>
      <c r="C169">
        <f>RANK('1. Datos'!J169,'1. Datos'!J$2:J$172,1)+(COUNTIF('1. Datos'!J$2:J$172,'1. Datos'!J169)-1)/2</f>
        <v>62</v>
      </c>
      <c r="D169">
        <f>RANK('1. Datos'!K169,'1. Datos'!K$2:K$172,1)+(COUNTIF('1. Datos'!K$2:K$172,'1. Datos'!K169)-1)/2</f>
        <v>92.5</v>
      </c>
      <c r="E169">
        <f>RANK('1. Datos'!L169,'1. Datos'!L$2:L$172,1)+(COUNTIF('1. Datos'!L$2:L$172,'1. Datos'!L169)-1)/2</f>
        <v>55.5</v>
      </c>
      <c r="F169">
        <f>RANK('1. Datos'!M169,'1. Datos'!M$2:M$172,1)+(COUNTIF('1. Datos'!M$2:M$172,'1. Datos'!M169)-1)/2</f>
        <v>57.5</v>
      </c>
      <c r="G169">
        <f>RANK('1. Datos'!N169,'1. Datos'!N$2:N$172,1)+(COUNTIF('1. Datos'!N$2:N$172,'1. Datos'!N169)-1)/2</f>
        <v>53</v>
      </c>
      <c r="H169">
        <f>RANK('1. Datos'!O169,'1. Datos'!O$2:O$172,1)+(COUNTIF('1. Datos'!O$2:O$172,'1. Datos'!O169)-1)/2</f>
        <v>49</v>
      </c>
      <c r="I169">
        <f>RANK('1. Datos'!P169,'1. Datos'!P$2:P$172,1)+(COUNTIF('1. Datos'!P$2:P$172,'1. Datos'!P169)-1)/2</f>
        <v>122</v>
      </c>
      <c r="J169">
        <f>RANK('1. Datos'!Q169,'1. Datos'!Q$2:Q$172,1)+(COUNTIF('1. Datos'!Q$2:Q$172,'1. Datos'!Q169)-1)/2</f>
        <v>123</v>
      </c>
      <c r="K169">
        <f>RANK('1. Datos'!R169,'1. Datos'!R$2:R$172,1)+(COUNTIF('1. Datos'!R$2:R$172,'1. Datos'!R169)-1)/2</f>
        <v>33.5</v>
      </c>
      <c r="L169">
        <f>RANK('1. Datos'!S169,'1. Datos'!S$2:S$172,1)+(COUNTIF('1. Datos'!S$2:S$172,'1. Datos'!S169)-1)/2</f>
        <v>124.5</v>
      </c>
    </row>
    <row r="170" spans="1:12" ht="15" customHeight="1" x14ac:dyDescent="0.45">
      <c r="A170">
        <f>RANK('1. Datos'!H170,'1. Datos'!H$2:H$172,1)+(COUNTIF('1. Datos'!H$2:H$172,'1. Datos'!H170)-1)/2</f>
        <v>125</v>
      </c>
      <c r="B170">
        <f>RANK('1. Datos'!I170,'1. Datos'!I$2:I$172,1)+(COUNTIF('1. Datos'!I$2:I$172,'1. Datos'!I170)-1)/2</f>
        <v>57.5</v>
      </c>
      <c r="C170">
        <f>RANK('1. Datos'!J170,'1. Datos'!J$2:J$172,1)+(COUNTIF('1. Datos'!J$2:J$172,'1. Datos'!J170)-1)/2</f>
        <v>62</v>
      </c>
      <c r="D170">
        <f>RANK('1. Datos'!K170,'1. Datos'!K$2:K$172,1)+(COUNTIF('1. Datos'!K$2:K$172,'1. Datos'!K170)-1)/2</f>
        <v>92.5</v>
      </c>
      <c r="E170">
        <f>RANK('1. Datos'!L170,'1. Datos'!L$2:L$172,1)+(COUNTIF('1. Datos'!L$2:L$172,'1. Datos'!L170)-1)/2</f>
        <v>132</v>
      </c>
      <c r="F170">
        <f>RANK('1. Datos'!M170,'1. Datos'!M$2:M$172,1)+(COUNTIF('1. Datos'!M$2:M$172,'1. Datos'!M170)-1)/2</f>
        <v>57.5</v>
      </c>
      <c r="G170">
        <f>RANK('1. Datos'!N170,'1. Datos'!N$2:N$172,1)+(COUNTIF('1. Datos'!N$2:N$172,'1. Datos'!N170)-1)/2</f>
        <v>127</v>
      </c>
      <c r="H170">
        <f>RANK('1. Datos'!O170,'1. Datos'!O$2:O$172,1)+(COUNTIF('1. Datos'!O$2:O$172,'1. Datos'!O170)-1)/2</f>
        <v>126</v>
      </c>
      <c r="I170">
        <f>RANK('1. Datos'!P170,'1. Datos'!P$2:P$172,1)+(COUNTIF('1. Datos'!P$2:P$172,'1. Datos'!P170)-1)/2</f>
        <v>122</v>
      </c>
      <c r="J170">
        <f>RANK('1. Datos'!Q170,'1. Datos'!Q$2:Q$172,1)+(COUNTIF('1. Datos'!Q$2:Q$172,'1. Datos'!Q170)-1)/2</f>
        <v>38.5</v>
      </c>
      <c r="K170">
        <f>RANK('1. Datos'!R170,'1. Datos'!R$2:R$172,1)+(COUNTIF('1. Datos'!R$2:R$172,'1. Datos'!R170)-1)/2</f>
        <v>118.5</v>
      </c>
      <c r="L170">
        <f>RANK('1. Datos'!S170,'1. Datos'!S$2:S$172,1)+(COUNTIF('1. Datos'!S$2:S$172,'1. Datos'!S170)-1)/2</f>
        <v>124.5</v>
      </c>
    </row>
    <row r="171" spans="1:12" ht="15" customHeight="1" x14ac:dyDescent="0.45">
      <c r="A171">
        <f>RANK('1. Datos'!H171,'1. Datos'!H$2:H$172,1)+(COUNTIF('1. Datos'!H$2:H$172,'1. Datos'!H171)-1)/2</f>
        <v>125</v>
      </c>
      <c r="B171">
        <f>RANK('1. Datos'!I171,'1. Datos'!I$2:I$172,1)+(COUNTIF('1. Datos'!I$2:I$172,'1. Datos'!I171)-1)/2</f>
        <v>138</v>
      </c>
      <c r="C171">
        <f>RANK('1. Datos'!J171,'1. Datos'!J$2:J$172,1)+(COUNTIF('1. Datos'!J$2:J$172,'1. Datos'!J171)-1)/2</f>
        <v>10.5</v>
      </c>
      <c r="D171">
        <f>RANK('1. Datos'!K171,'1. Datos'!K$2:K$172,1)+(COUNTIF('1. Datos'!K$2:K$172,'1. Datos'!K171)-1)/2</f>
        <v>39</v>
      </c>
      <c r="E171">
        <f>RANK('1. Datos'!L171,'1. Datos'!L$2:L$172,1)+(COUNTIF('1. Datos'!L$2:L$172,'1. Datos'!L171)-1)/2</f>
        <v>55.5</v>
      </c>
      <c r="F171">
        <f>RANK('1. Datos'!M171,'1. Datos'!M$2:M$172,1)+(COUNTIF('1. Datos'!M$2:M$172,'1. Datos'!M171)-1)/2</f>
        <v>57.5</v>
      </c>
      <c r="G171">
        <f>RANK('1. Datos'!N171,'1. Datos'!N$2:N$172,1)+(COUNTIF('1. Datos'!N$2:N$172,'1. Datos'!N171)-1)/2</f>
        <v>127</v>
      </c>
      <c r="H171">
        <f>RANK('1. Datos'!O171,'1. Datos'!O$2:O$172,1)+(COUNTIF('1. Datos'!O$2:O$172,'1. Datos'!O171)-1)/2</f>
        <v>126</v>
      </c>
      <c r="I171">
        <f>RANK('1. Datos'!P171,'1. Datos'!P$2:P$172,1)+(COUNTIF('1. Datos'!P$2:P$172,'1. Datos'!P171)-1)/2</f>
        <v>41.5</v>
      </c>
      <c r="J171">
        <f>RANK('1. Datos'!Q171,'1. Datos'!Q$2:Q$172,1)+(COUNTIF('1. Datos'!Q$2:Q$172,'1. Datos'!Q171)-1)/2</f>
        <v>123</v>
      </c>
      <c r="K171">
        <f>RANK('1. Datos'!R171,'1. Datos'!R$2:R$172,1)+(COUNTIF('1. Datos'!R$2:R$172,'1. Datos'!R171)-1)/2</f>
        <v>118.5</v>
      </c>
      <c r="L171">
        <f>RANK('1. Datos'!S171,'1. Datos'!S$2:S$172,1)+(COUNTIF('1. Datos'!S$2:S$172,'1. Datos'!S171)-1)/2</f>
        <v>124.5</v>
      </c>
    </row>
    <row r="172" spans="1:12" ht="15" customHeight="1" x14ac:dyDescent="0.45">
      <c r="A172">
        <f>RANK('1. Datos'!H172,'1. Datos'!H$2:H$172,1)+(COUNTIF('1. Datos'!H$2:H$172,'1. Datos'!H172)-1)/2</f>
        <v>41.5</v>
      </c>
      <c r="B172">
        <f>RANK('1. Datos'!I172,'1. Datos'!I$2:I$172,1)+(COUNTIF('1. Datos'!I$2:I$172,'1. Datos'!I172)-1)/2</f>
        <v>57.5</v>
      </c>
      <c r="C172">
        <f>RANK('1. Datos'!J172,'1. Datos'!J$2:J$172,1)+(COUNTIF('1. Datos'!J$2:J$172,'1. Datos'!J172)-1)/2</f>
        <v>137.5</v>
      </c>
      <c r="D172">
        <f>RANK('1. Datos'!K172,'1. Datos'!K$2:K$172,1)+(COUNTIF('1. Datos'!K$2:K$172,'1. Datos'!K172)-1)/2</f>
        <v>39</v>
      </c>
      <c r="E172">
        <f>RANK('1. Datos'!L172,'1. Datos'!L$2:L$172,1)+(COUNTIF('1. Datos'!L$2:L$172,'1. Datos'!L172)-1)/2</f>
        <v>55.5</v>
      </c>
      <c r="F172">
        <f>RANK('1. Datos'!M172,'1. Datos'!M$2:M$172,1)+(COUNTIF('1. Datos'!M$2:M$172,'1. Datos'!M172)-1)/2</f>
        <v>57.5</v>
      </c>
      <c r="G172">
        <f>RANK('1. Datos'!N172,'1. Datos'!N$2:N$172,1)+(COUNTIF('1. Datos'!N$2:N$172,'1. Datos'!N172)-1)/2</f>
        <v>53</v>
      </c>
      <c r="H172">
        <f>RANK('1. Datos'!O172,'1. Datos'!O$2:O$172,1)+(COUNTIF('1. Datos'!O$2:O$172,'1. Datos'!O172)-1)/2</f>
        <v>49</v>
      </c>
      <c r="I172">
        <f>RANK('1. Datos'!P172,'1. Datos'!P$2:P$172,1)+(COUNTIF('1. Datos'!P$2:P$172,'1. Datos'!P172)-1)/2</f>
        <v>41.5</v>
      </c>
      <c r="J172">
        <f>RANK('1. Datos'!Q172,'1. Datos'!Q$2:Q$172,1)+(COUNTIF('1. Datos'!Q$2:Q$172,'1. Datos'!Q172)-1)/2</f>
        <v>38.5</v>
      </c>
      <c r="K172">
        <f>RANK('1. Datos'!R172,'1. Datos'!R$2:R$172,1)+(COUNTIF('1. Datos'!R$2:R$172,'1. Datos'!R172)-1)/2</f>
        <v>33.5</v>
      </c>
      <c r="L172">
        <f>RANK('1. Datos'!S172,'1. Datos'!S$2:S$172,1)+(COUNTIF('1. Datos'!S$2:S$172,'1. Datos'!S172)-1)/2</f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zoomScaleNormal="100" workbookViewId="0">
      <selection activeCell="L14" sqref="L14"/>
    </sheetView>
  </sheetViews>
  <sheetFormatPr defaultColWidth="8.6640625" defaultRowHeight="14.25" x14ac:dyDescent="0.45"/>
  <cols>
    <col min="1" max="1" width="26" customWidth="1"/>
    <col min="2" max="2" width="7" customWidth="1"/>
    <col min="3" max="3" width="5" customWidth="1"/>
    <col min="4" max="4" width="8" customWidth="1"/>
    <col min="5" max="5" width="9" customWidth="1"/>
    <col min="6" max="7" width="6" customWidth="1"/>
    <col min="8" max="8" width="8" customWidth="1"/>
    <col min="9" max="10" width="6" customWidth="1"/>
  </cols>
  <sheetData>
    <row r="1" spans="1:10" ht="15" customHeight="1" x14ac:dyDescent="0.45">
      <c r="A1" s="6" t="s">
        <v>56</v>
      </c>
    </row>
    <row r="2" spans="1:10" ht="15" customHeight="1" x14ac:dyDescent="0.4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</row>
    <row r="3" spans="1:10" ht="15" customHeight="1" x14ac:dyDescent="0.45">
      <c r="A3" s="3" t="s">
        <v>67</v>
      </c>
      <c r="B3" s="2" t="s">
        <v>7</v>
      </c>
      <c r="C3" s="2">
        <f>COUNTA('1. Datos'!H$2:H$172)</f>
        <v>171</v>
      </c>
      <c r="D3" s="7">
        <f>AVERAGE('1. Datos'!H$2:H$172)</f>
        <v>4.5204678362573096</v>
      </c>
      <c r="E3" s="7">
        <f>STDEV('1. Datos'!H$2:H$172)</f>
        <v>0.54599268780440613</v>
      </c>
      <c r="F3" s="8">
        <f>MIN('1. Datos'!H$2:H$172)</f>
        <v>3</v>
      </c>
      <c r="G3" s="8">
        <f>QUARTILE('1. Datos'!H$2:H$172,1)</f>
        <v>4</v>
      </c>
      <c r="H3" s="8">
        <f>MEDIAN('1. Datos'!H$2:H$172)</f>
        <v>5</v>
      </c>
      <c r="I3" s="8">
        <f>QUARTILE('1. Datos'!H$2:H$172,3)</f>
        <v>5</v>
      </c>
      <c r="J3" s="8">
        <f>MAX('1. Datos'!H$2:H$172)</f>
        <v>5</v>
      </c>
    </row>
    <row r="4" spans="1:10" ht="15" customHeight="1" x14ac:dyDescent="0.45">
      <c r="A4" s="5" t="s">
        <v>68</v>
      </c>
      <c r="B4" s="4" t="s">
        <v>8</v>
      </c>
      <c r="C4" s="4">
        <f>COUNTA('1. Datos'!I$2:I$172)</f>
        <v>171</v>
      </c>
      <c r="D4" s="9">
        <f>AVERAGE('1. Datos'!I$2:I$172)</f>
        <v>4.333333333333333</v>
      </c>
      <c r="E4" s="9">
        <f>STDEV('1. Datos'!I$2:I$172)</f>
        <v>0.58410313352030163</v>
      </c>
      <c r="F4" s="10">
        <f>MIN('1. Datos'!I$2:I$172)</f>
        <v>3</v>
      </c>
      <c r="G4" s="10">
        <f>QUARTILE('1. Datos'!I$2:I$172,1)</f>
        <v>4</v>
      </c>
      <c r="H4" s="10">
        <f>MEDIAN('1. Datos'!I$2:I$172)</f>
        <v>4</v>
      </c>
      <c r="I4" s="10">
        <f>QUARTILE('1. Datos'!I$2:I$172,3)</f>
        <v>5</v>
      </c>
      <c r="J4" s="10">
        <f>MAX('1. Datos'!I$2:I$172)</f>
        <v>5</v>
      </c>
    </row>
    <row r="5" spans="1:10" ht="15" customHeight="1" x14ac:dyDescent="0.45">
      <c r="A5" s="3" t="s">
        <v>69</v>
      </c>
      <c r="B5" s="2" t="s">
        <v>9</v>
      </c>
      <c r="C5" s="2">
        <f>COUNTA('1. Datos'!J$2:J$172)</f>
        <v>171</v>
      </c>
      <c r="D5" s="7">
        <f>AVERAGE('1. Datos'!J$2:J$172)</f>
        <v>4.2807017543859649</v>
      </c>
      <c r="E5" s="7">
        <f>STDEV('1. Datos'!J$2:J$172)</f>
        <v>0.66211033285945431</v>
      </c>
      <c r="F5" s="8">
        <f>MIN('1. Datos'!J$2:J$172)</f>
        <v>3</v>
      </c>
      <c r="G5" s="8">
        <f>QUARTILE('1. Datos'!J$2:J$172,1)</f>
        <v>4</v>
      </c>
      <c r="H5" s="8">
        <f>MEDIAN('1. Datos'!J$2:J$172)</f>
        <v>4</v>
      </c>
      <c r="I5" s="8">
        <f>QUARTILE('1. Datos'!J$2:J$172,3)</f>
        <v>5</v>
      </c>
      <c r="J5" s="8">
        <f>MAX('1. Datos'!J$2:J$172)</f>
        <v>5</v>
      </c>
    </row>
    <row r="6" spans="1:10" ht="15" customHeight="1" x14ac:dyDescent="0.45">
      <c r="A6" s="5" t="s">
        <v>70</v>
      </c>
      <c r="B6" s="4" t="s">
        <v>10</v>
      </c>
      <c r="C6" s="4">
        <f>COUNTA('1. Datos'!K$2:K$172)</f>
        <v>171</v>
      </c>
      <c r="D6" s="9">
        <f>AVERAGE('1. Datos'!K$2:K$172)</f>
        <v>3.801169590643275</v>
      </c>
      <c r="E6" s="9">
        <f>STDEV('1. Datos'!K$2:K$172)</f>
        <v>0.97991526068770651</v>
      </c>
      <c r="F6" s="10">
        <f>MIN('1. Datos'!K$2:K$172)</f>
        <v>1</v>
      </c>
      <c r="G6" s="10">
        <f>QUARTILE('1. Datos'!K$2:K$172,1)</f>
        <v>3</v>
      </c>
      <c r="H6" s="10">
        <f>MEDIAN('1. Datos'!K$2:K$172)</f>
        <v>4</v>
      </c>
      <c r="I6" s="10">
        <f>QUARTILE('1. Datos'!K$2:K$172,3)</f>
        <v>5</v>
      </c>
      <c r="J6" s="10">
        <f>MAX('1. Datos'!K$2:K$172)</f>
        <v>5</v>
      </c>
    </row>
    <row r="7" spans="1:10" ht="15" customHeight="1" x14ac:dyDescent="0.45">
      <c r="A7" s="3" t="s">
        <v>71</v>
      </c>
      <c r="B7" s="2" t="s">
        <v>11</v>
      </c>
      <c r="C7" s="2">
        <f>COUNTA('1. Datos'!L$2:L$172)</f>
        <v>171</v>
      </c>
      <c r="D7" s="7">
        <f>AVERAGE('1. Datos'!L$2:L$172)</f>
        <v>4.3450292397660819</v>
      </c>
      <c r="E7" s="7">
        <f>STDEV('1. Datos'!L$2:L$172)</f>
        <v>0.69723519052376715</v>
      </c>
      <c r="F7" s="8">
        <f>MIN('1. Datos'!L$2:L$172)</f>
        <v>2</v>
      </c>
      <c r="G7" s="8">
        <f>QUARTILE('1. Datos'!L$2:L$172,1)</f>
        <v>4</v>
      </c>
      <c r="H7" s="8">
        <f>MEDIAN('1. Datos'!L$2:L$172)</f>
        <v>4</v>
      </c>
      <c r="I7" s="8">
        <f>QUARTILE('1. Datos'!L$2:L$172,3)</f>
        <v>5</v>
      </c>
      <c r="J7" s="8">
        <f>MAX('1. Datos'!L$2:L$172)</f>
        <v>5</v>
      </c>
    </row>
    <row r="8" spans="1:10" ht="15" customHeight="1" x14ac:dyDescent="0.45">
      <c r="A8" s="5" t="s">
        <v>72</v>
      </c>
      <c r="B8" s="4" t="s">
        <v>12</v>
      </c>
      <c r="C8" s="4">
        <f>COUNTA('1. Datos'!M$2:M$172)</f>
        <v>171</v>
      </c>
      <c r="D8" s="9">
        <f>AVERAGE('1. Datos'!M$2:M$172)</f>
        <v>4.333333333333333</v>
      </c>
      <c r="E8" s="9">
        <f>STDEV('1. Datos'!M$2:M$172)</f>
        <v>0.55306631875497214</v>
      </c>
      <c r="F8" s="10">
        <f>MIN('1. Datos'!M$2:M$172)</f>
        <v>3</v>
      </c>
      <c r="G8" s="10">
        <f>QUARTILE('1. Datos'!M$2:M$172,1)</f>
        <v>4</v>
      </c>
      <c r="H8" s="10">
        <f>MEDIAN('1. Datos'!M$2:M$172)</f>
        <v>4</v>
      </c>
      <c r="I8" s="10">
        <f>QUARTILE('1. Datos'!M$2:M$172,3)</f>
        <v>5</v>
      </c>
      <c r="J8" s="10">
        <f>MAX('1. Datos'!M$2:M$172)</f>
        <v>5</v>
      </c>
    </row>
    <row r="9" spans="1:10" ht="15" customHeight="1" x14ac:dyDescent="0.45">
      <c r="A9" s="3" t="s">
        <v>73</v>
      </c>
      <c r="B9" s="2" t="s">
        <v>13</v>
      </c>
      <c r="C9" s="2">
        <f>COUNTA('1. Datos'!N$2:N$172)</f>
        <v>171</v>
      </c>
      <c r="D9" s="7">
        <f>AVERAGE('1. Datos'!N$2:N$172)</f>
        <v>4.3391812865497075</v>
      </c>
      <c r="E9" s="7">
        <f>STDEV('1. Datos'!N$2:N$172)</f>
        <v>0.8272117780625422</v>
      </c>
      <c r="F9" s="8">
        <f>MIN('1. Datos'!N$2:N$172)</f>
        <v>2</v>
      </c>
      <c r="G9" s="8">
        <f>QUARTILE('1. Datos'!N$2:N$172,1)</f>
        <v>4</v>
      </c>
      <c r="H9" s="8">
        <f>MEDIAN('1. Datos'!N$2:N$172)</f>
        <v>5</v>
      </c>
      <c r="I9" s="8">
        <f>QUARTILE('1. Datos'!N$2:N$172,3)</f>
        <v>5</v>
      </c>
      <c r="J9" s="8">
        <f>MAX('1. Datos'!N$2:N$172)</f>
        <v>5</v>
      </c>
    </row>
    <row r="10" spans="1:10" ht="15" customHeight="1" x14ac:dyDescent="0.45">
      <c r="A10" s="5" t="s">
        <v>74</v>
      </c>
      <c r="B10" s="4" t="s">
        <v>14</v>
      </c>
      <c r="C10" s="4">
        <f>COUNTA('1. Datos'!O$2:O$172)</f>
        <v>171</v>
      </c>
      <c r="D10" s="9">
        <f>AVERAGE('1. Datos'!O$2:O$172)</f>
        <v>4.4269005847953213</v>
      </c>
      <c r="E10" s="9">
        <f>STDEV('1. Datos'!O$2:O$172)</f>
        <v>0.68529193997861715</v>
      </c>
      <c r="F10" s="10">
        <f>MIN('1. Datos'!O$2:O$172)</f>
        <v>2</v>
      </c>
      <c r="G10" s="10">
        <f>QUARTILE('1. Datos'!O$2:O$172,1)</f>
        <v>4</v>
      </c>
      <c r="H10" s="10">
        <f>MEDIAN('1. Datos'!O$2:O$172)</f>
        <v>5</v>
      </c>
      <c r="I10" s="10">
        <f>QUARTILE('1. Datos'!O$2:O$172,3)</f>
        <v>5</v>
      </c>
      <c r="J10" s="10">
        <f>MAX('1. Datos'!O$2:O$172)</f>
        <v>5</v>
      </c>
    </row>
    <row r="11" spans="1:10" ht="15" customHeight="1" x14ac:dyDescent="0.45">
      <c r="A11" s="3" t="s">
        <v>75</v>
      </c>
      <c r="B11" s="2" t="s">
        <v>15</v>
      </c>
      <c r="C11" s="2">
        <f>COUNTA('1. Datos'!P$2:P$172)</f>
        <v>171</v>
      </c>
      <c r="D11" s="11">
        <f>AVERAGE('1. Datos'!P$2:P$172)</f>
        <v>4.5204678362573096</v>
      </c>
      <c r="E11" s="7">
        <f>STDEV('1. Datos'!P$2:P$172)</f>
        <v>0.60720363176614589</v>
      </c>
      <c r="F11" s="8">
        <f>MIN('1. Datos'!P$2:P$172)</f>
        <v>3</v>
      </c>
      <c r="G11" s="8">
        <f>QUARTILE('1. Datos'!P$2:P$172,1)</f>
        <v>4</v>
      </c>
      <c r="H11" s="8">
        <f>MEDIAN('1. Datos'!P$2:P$172)</f>
        <v>5</v>
      </c>
      <c r="I11" s="8">
        <f>QUARTILE('1. Datos'!P$2:P$172,3)</f>
        <v>5</v>
      </c>
      <c r="J11" s="8">
        <f>MAX('1. Datos'!P$2:P$172)</f>
        <v>5</v>
      </c>
    </row>
    <row r="12" spans="1:10" ht="15" customHeight="1" x14ac:dyDescent="0.45">
      <c r="A12" s="5" t="s">
        <v>76</v>
      </c>
      <c r="B12" s="4" t="s">
        <v>16</v>
      </c>
      <c r="C12" s="4">
        <f>COUNTA('1. Datos'!Q$2:Q$172)</f>
        <v>171</v>
      </c>
      <c r="D12" s="9">
        <f>AVERAGE('1. Datos'!Q$2:Q$172)</f>
        <v>4.5555555555555554</v>
      </c>
      <c r="E12" s="9">
        <f>STDEV('1. Datos'!Q$2:Q$172)</f>
        <v>0.52143592591669496</v>
      </c>
      <c r="F12" s="10">
        <f>MIN('1. Datos'!Q$2:Q$172)</f>
        <v>3</v>
      </c>
      <c r="G12" s="10">
        <f>QUARTILE('1. Datos'!Q$2:Q$172,1)</f>
        <v>4</v>
      </c>
      <c r="H12" s="10">
        <f>MEDIAN('1. Datos'!Q$2:Q$172)</f>
        <v>5</v>
      </c>
      <c r="I12" s="10">
        <f>QUARTILE('1. Datos'!Q$2:Q$172,3)</f>
        <v>5</v>
      </c>
      <c r="J12" s="10">
        <f>MAX('1. Datos'!Q$2:Q$172)</f>
        <v>5</v>
      </c>
    </row>
    <row r="13" spans="1:10" ht="15" customHeight="1" x14ac:dyDescent="0.45">
      <c r="A13" s="3" t="s">
        <v>77</v>
      </c>
      <c r="B13" s="2" t="s">
        <v>17</v>
      </c>
      <c r="C13" s="2">
        <f>COUNTA('1. Datos'!R$2:R$172)</f>
        <v>171</v>
      </c>
      <c r="D13" s="7">
        <f>AVERAGE('1. Datos'!R$2:R$172)</f>
        <v>4.60233918128655</v>
      </c>
      <c r="E13" s="7">
        <f>STDEV('1. Datos'!R$2:R$172)</f>
        <v>0.55814326817470294</v>
      </c>
      <c r="F13" s="8">
        <f>MIN('1. Datos'!R$2:R$172)</f>
        <v>1</v>
      </c>
      <c r="G13" s="8">
        <f>QUARTILE('1. Datos'!R$2:R$172,1)</f>
        <v>4</v>
      </c>
      <c r="H13" s="8">
        <f>MEDIAN('1. Datos'!R$2:R$172)</f>
        <v>5</v>
      </c>
      <c r="I13" s="8">
        <f>QUARTILE('1. Datos'!R$2:R$172,3)</f>
        <v>5</v>
      </c>
      <c r="J13" s="8">
        <f>MAX('1. Datos'!R$2:R$172)</f>
        <v>5</v>
      </c>
    </row>
    <row r="14" spans="1:10" ht="15" customHeight="1" x14ac:dyDescent="0.45">
      <c r="A14" s="5" t="s">
        <v>78</v>
      </c>
      <c r="B14" s="4" t="s">
        <v>18</v>
      </c>
      <c r="C14" s="4">
        <f>COUNTA('1. Datos'!S$2:S$172)</f>
        <v>171</v>
      </c>
      <c r="D14" s="9">
        <f>AVERAGE('1. Datos'!S$2:S$172)</f>
        <v>4.3859649122807021</v>
      </c>
      <c r="E14" s="9">
        <f>STDEV('1. Datos'!S$2:S$172)</f>
        <v>0.78413052555971285</v>
      </c>
      <c r="F14" s="10">
        <f>MIN('1. Datos'!S$2:S$172)</f>
        <v>1</v>
      </c>
      <c r="G14" s="10">
        <f>QUARTILE('1. Datos'!S$2:S$172,1)</f>
        <v>4</v>
      </c>
      <c r="H14" s="10">
        <f>MEDIAN('1. Datos'!S$2:S$172)</f>
        <v>5</v>
      </c>
      <c r="I14" s="10">
        <f>QUARTILE('1. Datos'!S$2:S$172,3)</f>
        <v>5</v>
      </c>
      <c r="J14" s="10">
        <f>MAX('1. Datos'!S$2:S$172)</f>
        <v>5</v>
      </c>
    </row>
    <row r="16" spans="1:10" x14ac:dyDescent="0.45">
      <c r="A16" t="s">
        <v>137</v>
      </c>
    </row>
    <row r="17" spans="1:1" x14ac:dyDescent="0.45">
      <c r="A17" t="s">
        <v>138</v>
      </c>
    </row>
    <row r="18" spans="1:1" x14ac:dyDescent="0.45">
      <c r="A18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Normal="100" workbookViewId="0">
      <selection activeCell="M15" sqref="M15"/>
    </sheetView>
  </sheetViews>
  <sheetFormatPr defaultColWidth="8.6640625" defaultRowHeight="14.25" x14ac:dyDescent="0.45"/>
  <cols>
    <col min="1" max="1" width="26" customWidth="1"/>
    <col min="2" max="13" width="7" customWidth="1"/>
  </cols>
  <sheetData>
    <row r="1" spans="1:7" ht="15" customHeight="1" x14ac:dyDescent="0.45">
      <c r="A1" s="12" t="s">
        <v>132</v>
      </c>
    </row>
    <row r="2" spans="1:7" ht="15" customHeight="1" x14ac:dyDescent="0.45">
      <c r="A2" s="1" t="s">
        <v>57</v>
      </c>
      <c r="B2" s="1" t="s">
        <v>58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</row>
    <row r="3" spans="1:7" ht="15" customHeight="1" x14ac:dyDescent="0.45">
      <c r="A3" s="3" t="s">
        <v>73</v>
      </c>
      <c r="B3" s="2" t="s">
        <v>13</v>
      </c>
      <c r="C3" s="13">
        <f>CORREL(Aux_Rangos!G$2:G$172,Aux_Rangos!I$2:I$172)</f>
        <v>0.32440704074283416</v>
      </c>
      <c r="D3" s="13">
        <f t="shared" ref="D3:D13" si="0">C3*SQRT(169)/SQRT(1-C3^2)</f>
        <v>4.4584133014926515</v>
      </c>
      <c r="E3" s="2" t="str">
        <f t="shared" ref="E3:E13" si="1">IF(TDIST(ABS(D3),169,2)&lt;0.001,"&lt;0.001",ROUND(TDIST(ABS(D3),169,2),4))</f>
        <v>&lt;0.001</v>
      </c>
      <c r="F3" s="2" t="str">
        <f t="shared" ref="F3:F13" si="2">IF(TDIST(ABS(D3),169,2)&lt;0.001,"***",IF(TDIST(ABS(D3),169,2)&lt;0.01,"**",IF(TDIST(ABS(D3),169,2)&lt;0.05,"*","n.s.")))</f>
        <v>***</v>
      </c>
      <c r="G3" s="3" t="str">
        <f t="shared" ref="G3:G13" si="3">IF(TDIST(ABS(D3),169,2)&gt;=0.05,"Muy baja / no sig.",IF(ABS(C3)&gt;=0.5,"Fuerte",IF(ABS(C3)&gt;=0.3,"Moderada",IF(ABS(C3)&gt;=0.1,"Débil","Muy baja / no sig."))))</f>
        <v>Moderada</v>
      </c>
    </row>
    <row r="4" spans="1:7" ht="15" customHeight="1" x14ac:dyDescent="0.45">
      <c r="A4" s="5" t="s">
        <v>77</v>
      </c>
      <c r="B4" s="4" t="s">
        <v>17</v>
      </c>
      <c r="C4" s="14">
        <f>CORREL(Aux_Rangos!K$2:K$172,Aux_Rangos!I$2:I$172)</f>
        <v>0.32345270504658785</v>
      </c>
      <c r="D4" s="14">
        <f t="shared" si="0"/>
        <v>4.4437625630094733</v>
      </c>
      <c r="E4" s="4" t="str">
        <f t="shared" si="1"/>
        <v>&lt;0.001</v>
      </c>
      <c r="F4" s="4" t="str">
        <f t="shared" si="2"/>
        <v>***</v>
      </c>
      <c r="G4" s="5" t="str">
        <f t="shared" si="3"/>
        <v>Moderada</v>
      </c>
    </row>
    <row r="5" spans="1:7" ht="15" customHeight="1" x14ac:dyDescent="0.45">
      <c r="A5" s="3" t="s">
        <v>78</v>
      </c>
      <c r="B5" s="2" t="s">
        <v>18</v>
      </c>
      <c r="C5" s="13">
        <f>CORREL(Aux_Rangos!L$2:L$172,Aux_Rangos!I$2:I$172)</f>
        <v>0.29838568209335592</v>
      </c>
      <c r="D5" s="13">
        <f t="shared" si="0"/>
        <v>4.0641548963302618</v>
      </c>
      <c r="E5" s="2" t="str">
        <f t="shared" si="1"/>
        <v>&lt;0.001</v>
      </c>
      <c r="F5" s="2" t="str">
        <f t="shared" si="2"/>
        <v>***</v>
      </c>
      <c r="G5" s="3" t="str">
        <f t="shared" si="3"/>
        <v>Débil</v>
      </c>
    </row>
    <row r="6" spans="1:7" ht="15" customHeight="1" x14ac:dyDescent="0.45">
      <c r="A6" s="5" t="s">
        <v>74</v>
      </c>
      <c r="B6" s="4" t="s">
        <v>14</v>
      </c>
      <c r="C6" s="14">
        <f>CORREL(Aux_Rangos!H$2:H$172,Aux_Rangos!I$2:I$172)</f>
        <v>0.28202572272884069</v>
      </c>
      <c r="D6" s="14">
        <f t="shared" si="0"/>
        <v>3.8214594982183052</v>
      </c>
      <c r="E6" s="4" t="str">
        <f t="shared" si="1"/>
        <v>&lt;0.001</v>
      </c>
      <c r="F6" s="4" t="str">
        <f t="shared" si="2"/>
        <v>***</v>
      </c>
      <c r="G6" s="5" t="str">
        <f t="shared" si="3"/>
        <v>Débil</v>
      </c>
    </row>
    <row r="7" spans="1:7" ht="15" customHeight="1" x14ac:dyDescent="0.45">
      <c r="A7" s="3" t="s">
        <v>76</v>
      </c>
      <c r="B7" s="2" t="s">
        <v>16</v>
      </c>
      <c r="C7" s="13">
        <f>CORREL(Aux_Rangos!J$2:J$172,Aux_Rangos!I$2:I$172)</f>
        <v>0.24057555687001281</v>
      </c>
      <c r="D7" s="13">
        <f t="shared" si="0"/>
        <v>3.2221144039807985</v>
      </c>
      <c r="E7" s="2">
        <f t="shared" si="1"/>
        <v>1.5E-3</v>
      </c>
      <c r="F7" s="2" t="str">
        <f t="shared" si="2"/>
        <v>**</v>
      </c>
      <c r="G7" s="3" t="str">
        <f t="shared" si="3"/>
        <v>Débil</v>
      </c>
    </row>
    <row r="8" spans="1:7" ht="15" customHeight="1" x14ac:dyDescent="0.45">
      <c r="A8" s="5" t="s">
        <v>67</v>
      </c>
      <c r="B8" s="4" t="s">
        <v>7</v>
      </c>
      <c r="C8" s="14">
        <f>CORREL(Aux_Rangos!A$2:A$172,Aux_Rangos!I$2:I$172)</f>
        <v>0.2227997071690655</v>
      </c>
      <c r="D8" s="14">
        <f t="shared" si="0"/>
        <v>2.9710764516496</v>
      </c>
      <c r="E8" s="4">
        <f t="shared" si="1"/>
        <v>3.3999999999999998E-3</v>
      </c>
      <c r="F8" s="4" t="str">
        <f t="shared" si="2"/>
        <v>**</v>
      </c>
      <c r="G8" s="5" t="str">
        <f t="shared" si="3"/>
        <v>Débil</v>
      </c>
    </row>
    <row r="9" spans="1:7" ht="15" customHeight="1" x14ac:dyDescent="0.45">
      <c r="A9" s="3" t="s">
        <v>69</v>
      </c>
      <c r="B9" s="2" t="s">
        <v>9</v>
      </c>
      <c r="C9" s="13">
        <f>CORREL(Aux_Rangos!C$2:C$172,Aux_Rangos!I$2:I$172)</f>
        <v>8.7576421782553288E-2</v>
      </c>
      <c r="D9" s="13">
        <f t="shared" si="0"/>
        <v>1.142884670151489</v>
      </c>
      <c r="E9" s="2">
        <f t="shared" si="1"/>
        <v>0.25469999999999998</v>
      </c>
      <c r="F9" s="2" t="str">
        <f t="shared" si="2"/>
        <v>n.s.</v>
      </c>
      <c r="G9" s="3" t="str">
        <f t="shared" si="3"/>
        <v>Muy baja / no sig.</v>
      </c>
    </row>
    <row r="10" spans="1:7" ht="15" customHeight="1" x14ac:dyDescent="0.45">
      <c r="A10" s="5" t="s">
        <v>68</v>
      </c>
      <c r="B10" s="4" t="s">
        <v>8</v>
      </c>
      <c r="C10" s="14">
        <f>CORREL(Aux_Rangos!B$2:B$172,Aux_Rangos!I$2:I$172)</f>
        <v>6.7916695656540155E-2</v>
      </c>
      <c r="D10" s="14">
        <f t="shared" si="0"/>
        <v>0.88496042115226314</v>
      </c>
      <c r="E10" s="4">
        <f t="shared" si="1"/>
        <v>0.37740000000000001</v>
      </c>
      <c r="F10" s="4" t="str">
        <f t="shared" si="2"/>
        <v>n.s.</v>
      </c>
      <c r="G10" s="5" t="str">
        <f t="shared" si="3"/>
        <v>Muy baja / no sig.</v>
      </c>
    </row>
    <row r="11" spans="1:7" ht="15" customHeight="1" x14ac:dyDescent="0.45">
      <c r="A11" s="3" t="s">
        <v>71</v>
      </c>
      <c r="B11" s="2" t="s">
        <v>11</v>
      </c>
      <c r="C11" s="13">
        <f>CORREL(Aux_Rangos!E$2:E$172,Aux_Rangos!I$2:I$172)</f>
        <v>4.8468483898518606E-2</v>
      </c>
      <c r="D11" s="13">
        <f t="shared" si="0"/>
        <v>0.63083169936491235</v>
      </c>
      <c r="E11" s="2">
        <f t="shared" si="1"/>
        <v>0.52900000000000003</v>
      </c>
      <c r="F11" s="2" t="str">
        <f t="shared" si="2"/>
        <v>n.s.</v>
      </c>
      <c r="G11" s="3" t="str">
        <f t="shared" si="3"/>
        <v>Muy baja / no sig.</v>
      </c>
    </row>
    <row r="12" spans="1:7" ht="15" customHeight="1" x14ac:dyDescent="0.45">
      <c r="A12" s="5" t="s">
        <v>70</v>
      </c>
      <c r="B12" s="4" t="s">
        <v>10</v>
      </c>
      <c r="C12" s="14">
        <f>CORREL(Aux_Rangos!D$2:D$172,Aux_Rangos!I$2:I$172)</f>
        <v>1.8830983036684887E-2</v>
      </c>
      <c r="D12" s="14">
        <f t="shared" si="0"/>
        <v>0.24484619528154883</v>
      </c>
      <c r="E12" s="4">
        <f t="shared" si="1"/>
        <v>0.80689999999999995</v>
      </c>
      <c r="F12" s="4" t="str">
        <f t="shared" si="2"/>
        <v>n.s.</v>
      </c>
      <c r="G12" s="5" t="str">
        <f t="shared" si="3"/>
        <v>Muy baja / no sig.</v>
      </c>
    </row>
    <row r="13" spans="1:7" ht="15" customHeight="1" x14ac:dyDescent="0.45">
      <c r="A13" s="3" t="s">
        <v>72</v>
      </c>
      <c r="B13" s="2" t="s">
        <v>12</v>
      </c>
      <c r="C13" s="13">
        <f>CORREL(Aux_Rangos!F$2:F$172,Aux_Rangos!I$2:I$172)</f>
        <v>-1.8252359930244082E-2</v>
      </c>
      <c r="D13" s="13">
        <f t="shared" si="0"/>
        <v>-0.23732021383978549</v>
      </c>
      <c r="E13" s="2">
        <f t="shared" si="1"/>
        <v>0.81269999999999998</v>
      </c>
      <c r="F13" s="2" t="str">
        <f t="shared" si="2"/>
        <v>n.s.</v>
      </c>
      <c r="G13" s="3" t="str">
        <f t="shared" si="3"/>
        <v>Muy baja / no sig.</v>
      </c>
    </row>
    <row r="15" spans="1:7" x14ac:dyDescent="0.45">
      <c r="A15" t="s">
        <v>133</v>
      </c>
    </row>
    <row r="16" spans="1:7" x14ac:dyDescent="0.45">
      <c r="A16" t="s">
        <v>136</v>
      </c>
    </row>
    <row r="17" spans="1:13" x14ac:dyDescent="0.45">
      <c r="A17" t="s">
        <v>134</v>
      </c>
    </row>
    <row r="18" spans="1:13" ht="14.65" customHeight="1" x14ac:dyDescent="0.45">
      <c r="A18" t="s">
        <v>135</v>
      </c>
    </row>
    <row r="20" spans="1:13" ht="15" customHeight="1" x14ac:dyDescent="0.45">
      <c r="A20" s="6" t="s">
        <v>84</v>
      </c>
    </row>
    <row r="21" spans="1:13" ht="15" customHeight="1" x14ac:dyDescent="0.45">
      <c r="A21" s="1" t="s">
        <v>57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  <c r="M21" s="1" t="s">
        <v>18</v>
      </c>
    </row>
    <row r="22" spans="1:13" ht="15" customHeight="1" x14ac:dyDescent="0.45">
      <c r="A22" s="2" t="s">
        <v>7</v>
      </c>
      <c r="B22" s="15">
        <v>1</v>
      </c>
      <c r="C22" s="13">
        <f>CORREL(Aux_Rangos!A$2:A$172,Aux_Rangos!B$2:B$172)</f>
        <v>0.32334096359914449</v>
      </c>
      <c r="D22" s="13">
        <f>CORREL(Aux_Rangos!A$2:A$172,Aux_Rangos!C$2:C$172)</f>
        <v>5.2607420705655904E-2</v>
      </c>
      <c r="E22" s="13">
        <f>CORREL(Aux_Rangos!A$2:A$172,Aux_Rangos!D$2:D$172)</f>
        <v>1.3140165486766206E-2</v>
      </c>
      <c r="F22" s="13">
        <f>CORREL(Aux_Rangos!A$2:A$172,Aux_Rangos!E$2:E$172)</f>
        <v>5.9258428432294764E-3</v>
      </c>
      <c r="G22" s="13">
        <f>CORREL(Aux_Rangos!A$2:A$172,Aux_Rangos!F$2:F$172)</f>
        <v>1.2097865996709192E-2</v>
      </c>
      <c r="H22" s="13">
        <f>CORREL(Aux_Rangos!A$2:A$172,Aux_Rangos!G$2:G$172)</f>
        <v>0.15814889361381776</v>
      </c>
      <c r="I22" s="13">
        <f>CORREL(Aux_Rangos!A$2:A$172,Aux_Rangos!H$2:H$172)</f>
        <v>7.2556545880451642E-2</v>
      </c>
      <c r="J22" s="13">
        <f>CORREL(Aux_Rangos!A$2:A$172,Aux_Rangos!I$2:I$172)</f>
        <v>0.2227997071690655</v>
      </c>
      <c r="K22" s="13">
        <f>CORREL(Aux_Rangos!A$2:A$172,Aux_Rangos!J$2:J$172)</f>
        <v>7.4578048030288571E-2</v>
      </c>
      <c r="L22" s="13">
        <f>CORREL(Aux_Rangos!A$2:A$172,Aux_Rangos!K$2:K$172)</f>
        <v>8.7767573432574492E-2</v>
      </c>
      <c r="M22" s="13">
        <f>CORREL(Aux_Rangos!A$2:A$172,Aux_Rangos!L$2:L$172)</f>
        <v>0.18983702775844905</v>
      </c>
    </row>
    <row r="23" spans="1:13" ht="15" customHeight="1" x14ac:dyDescent="0.45">
      <c r="A23" s="4" t="s">
        <v>8</v>
      </c>
      <c r="B23" s="14">
        <f>CORREL(Aux_Rangos!B$2:B$172,Aux_Rangos!A$2:A$172)</f>
        <v>0.32334096359914449</v>
      </c>
      <c r="C23" s="15">
        <v>1</v>
      </c>
      <c r="D23" s="14">
        <f>CORREL(Aux_Rangos!B$2:B$172,Aux_Rangos!C$2:C$172)</f>
        <v>3.2963378487911255E-2</v>
      </c>
      <c r="E23" s="14">
        <f>CORREL(Aux_Rangos!B$2:B$172,Aux_Rangos!D$2:D$172)</f>
        <v>-5.1049541999070164E-2</v>
      </c>
      <c r="F23" s="14">
        <f>CORREL(Aux_Rangos!B$2:B$172,Aux_Rangos!E$2:E$172)</f>
        <v>-0.15150732300268105</v>
      </c>
      <c r="G23" s="14">
        <f>CORREL(Aux_Rangos!B$2:B$172,Aux_Rangos!F$2:F$172)</f>
        <v>-5.4828246192961463E-2</v>
      </c>
      <c r="H23" s="14">
        <f>CORREL(Aux_Rangos!B$2:B$172,Aux_Rangos!G$2:G$172)</f>
        <v>0.1575718541533094</v>
      </c>
      <c r="I23" s="14">
        <f>CORREL(Aux_Rangos!B$2:B$172,Aux_Rangos!H$2:H$172)</f>
        <v>8.0887380123850203E-2</v>
      </c>
      <c r="J23" s="14">
        <f>CORREL(Aux_Rangos!B$2:B$172,Aux_Rangos!I$2:I$172)</f>
        <v>6.7916695656540155E-2</v>
      </c>
      <c r="K23" s="14">
        <f>CORREL(Aux_Rangos!B$2:B$172,Aux_Rangos!J$2:J$172)</f>
        <v>0.13121009709293041</v>
      </c>
      <c r="L23" s="14">
        <f>CORREL(Aux_Rangos!B$2:B$172,Aux_Rangos!K$2:K$172)</f>
        <v>-0.10894076752718575</v>
      </c>
      <c r="M23" s="14">
        <f>CORREL(Aux_Rangos!B$2:B$172,Aux_Rangos!L$2:L$172)</f>
        <v>0.23892056595832939</v>
      </c>
    </row>
    <row r="24" spans="1:13" ht="15" customHeight="1" x14ac:dyDescent="0.45">
      <c r="A24" s="2" t="s">
        <v>9</v>
      </c>
      <c r="B24" s="13">
        <f>CORREL(Aux_Rangos!C$2:C$172,Aux_Rangos!A$2:A$172)</f>
        <v>5.2607420705655904E-2</v>
      </c>
      <c r="C24" s="13">
        <f>CORREL(Aux_Rangos!C$2:C$172,Aux_Rangos!B$2:B$172)</f>
        <v>3.2963378487911255E-2</v>
      </c>
      <c r="D24" s="15">
        <v>1</v>
      </c>
      <c r="E24" s="13">
        <f>CORREL(Aux_Rangos!C$2:C$172,Aux_Rangos!D$2:D$172)</f>
        <v>0.21120544154797405</v>
      </c>
      <c r="F24" s="13">
        <f>CORREL(Aux_Rangos!C$2:C$172,Aux_Rangos!E$2:E$172)</f>
        <v>0.2148064477599908</v>
      </c>
      <c r="G24" s="13">
        <f>CORREL(Aux_Rangos!C$2:C$172,Aux_Rangos!F$2:F$172)</f>
        <v>-3.1047345320862473E-2</v>
      </c>
      <c r="H24" s="13">
        <f>CORREL(Aux_Rangos!C$2:C$172,Aux_Rangos!G$2:G$172)</f>
        <v>2.7077823319304493E-2</v>
      </c>
      <c r="I24" s="13">
        <f>CORREL(Aux_Rangos!C$2:C$172,Aux_Rangos!H$2:H$172)</f>
        <v>-2.1879565854831563E-2</v>
      </c>
      <c r="J24" s="13">
        <f>CORREL(Aux_Rangos!C$2:C$172,Aux_Rangos!I$2:I$172)</f>
        <v>8.7576421782553288E-2</v>
      </c>
      <c r="K24" s="13">
        <f>CORREL(Aux_Rangos!C$2:C$172,Aux_Rangos!J$2:J$172)</f>
        <v>5.0662844317749658E-2</v>
      </c>
      <c r="L24" s="13">
        <f>CORREL(Aux_Rangos!C$2:C$172,Aux_Rangos!K$2:K$172)</f>
        <v>7.0658721140922615E-2</v>
      </c>
      <c r="M24" s="13">
        <f>CORREL(Aux_Rangos!C$2:C$172,Aux_Rangos!L$2:L$172)</f>
        <v>0.10774932041135539</v>
      </c>
    </row>
    <row r="25" spans="1:13" ht="15" customHeight="1" x14ac:dyDescent="0.45">
      <c r="A25" s="4" t="s">
        <v>10</v>
      </c>
      <c r="B25" s="14">
        <f>CORREL(Aux_Rangos!D$2:D$172,Aux_Rangos!A$2:A$172)</f>
        <v>1.3140165486766206E-2</v>
      </c>
      <c r="C25" s="14">
        <f>CORREL(Aux_Rangos!D$2:D$172,Aux_Rangos!B$2:B$172)</f>
        <v>-5.1049541999070164E-2</v>
      </c>
      <c r="D25" s="14">
        <f>CORREL(Aux_Rangos!D$2:D$172,Aux_Rangos!C$2:C$172)</f>
        <v>0.21120544154797405</v>
      </c>
      <c r="E25" s="15">
        <v>1</v>
      </c>
      <c r="F25" s="14">
        <f>CORREL(Aux_Rangos!D$2:D$172,Aux_Rangos!E$2:E$172)</f>
        <v>0.31673445477110368</v>
      </c>
      <c r="G25" s="14">
        <f>CORREL(Aux_Rangos!D$2:D$172,Aux_Rangos!F$2:F$172)</f>
        <v>0.1660677325458538</v>
      </c>
      <c r="H25" s="14">
        <f>CORREL(Aux_Rangos!D$2:D$172,Aux_Rangos!G$2:G$172)</f>
        <v>2.2726997538091792E-2</v>
      </c>
      <c r="I25" s="14">
        <f>CORREL(Aux_Rangos!D$2:D$172,Aux_Rangos!H$2:H$172)</f>
        <v>1.7100799930053121E-2</v>
      </c>
      <c r="J25" s="14">
        <f>CORREL(Aux_Rangos!D$2:D$172,Aux_Rangos!I$2:I$172)</f>
        <v>1.8830983036684887E-2</v>
      </c>
      <c r="K25" s="14">
        <f>CORREL(Aux_Rangos!D$2:D$172,Aux_Rangos!J$2:J$172)</f>
        <v>2.3398983277797734E-2</v>
      </c>
      <c r="L25" s="14">
        <f>CORREL(Aux_Rangos!D$2:D$172,Aux_Rangos!K$2:K$172)</f>
        <v>3.9431822730160951E-2</v>
      </c>
      <c r="M25" s="14">
        <f>CORREL(Aux_Rangos!D$2:D$172,Aux_Rangos!L$2:L$172)</f>
        <v>8.6489153729929269E-2</v>
      </c>
    </row>
    <row r="26" spans="1:13" ht="15" customHeight="1" x14ac:dyDescent="0.45">
      <c r="A26" s="2" t="s">
        <v>11</v>
      </c>
      <c r="B26" s="13">
        <f>CORREL(Aux_Rangos!E$2:E$172,Aux_Rangos!A$2:A$172)</f>
        <v>5.9258428432294764E-3</v>
      </c>
      <c r="C26" s="13">
        <f>CORREL(Aux_Rangos!E$2:E$172,Aux_Rangos!B$2:B$172)</f>
        <v>-0.15150732300268105</v>
      </c>
      <c r="D26" s="13">
        <f>CORREL(Aux_Rangos!E$2:E$172,Aux_Rangos!C$2:C$172)</f>
        <v>0.2148064477599908</v>
      </c>
      <c r="E26" s="13">
        <f>CORREL(Aux_Rangos!E$2:E$172,Aux_Rangos!D$2:D$172)</f>
        <v>0.31673445477110368</v>
      </c>
      <c r="F26" s="15">
        <v>1</v>
      </c>
      <c r="G26" s="13">
        <f>CORREL(Aux_Rangos!E$2:E$172,Aux_Rangos!F$2:F$172)</f>
        <v>0.24164921089061983</v>
      </c>
      <c r="H26" s="13">
        <f>CORREL(Aux_Rangos!E$2:E$172,Aux_Rangos!G$2:G$172)</f>
        <v>-0.19233654395208447</v>
      </c>
      <c r="I26" s="13">
        <f>CORREL(Aux_Rangos!E$2:E$172,Aux_Rangos!H$2:H$172)</f>
        <v>-0.2009566767832679</v>
      </c>
      <c r="J26" s="13">
        <f>CORREL(Aux_Rangos!E$2:E$172,Aux_Rangos!I$2:I$172)</f>
        <v>4.8468483898518606E-2</v>
      </c>
      <c r="K26" s="13">
        <f>CORREL(Aux_Rangos!E$2:E$172,Aux_Rangos!J$2:J$172)</f>
        <v>2.7191342201740749E-2</v>
      </c>
      <c r="L26" s="13">
        <f>CORREL(Aux_Rangos!E$2:E$172,Aux_Rangos!K$2:K$172)</f>
        <v>-0.10357340953852658</v>
      </c>
      <c r="M26" s="13">
        <f>CORREL(Aux_Rangos!E$2:E$172,Aux_Rangos!L$2:L$172)</f>
        <v>-3.13912870757527E-2</v>
      </c>
    </row>
    <row r="27" spans="1:13" ht="15" customHeight="1" x14ac:dyDescent="0.45">
      <c r="A27" s="4" t="s">
        <v>12</v>
      </c>
      <c r="B27" s="14">
        <f>CORREL(Aux_Rangos!F$2:F$172,Aux_Rangos!A$2:A$172)</f>
        <v>1.2097865996709192E-2</v>
      </c>
      <c r="C27" s="14">
        <f>CORREL(Aux_Rangos!F$2:F$172,Aux_Rangos!B$2:B$172)</f>
        <v>-5.4828246192961463E-2</v>
      </c>
      <c r="D27" s="14">
        <f>CORREL(Aux_Rangos!F$2:F$172,Aux_Rangos!C$2:C$172)</f>
        <v>-3.1047345320862473E-2</v>
      </c>
      <c r="E27" s="14">
        <f>CORREL(Aux_Rangos!F$2:F$172,Aux_Rangos!D$2:D$172)</f>
        <v>0.1660677325458538</v>
      </c>
      <c r="F27" s="14">
        <f>CORREL(Aux_Rangos!F$2:F$172,Aux_Rangos!E$2:E$172)</f>
        <v>0.24164921089061983</v>
      </c>
      <c r="G27" s="15">
        <v>1</v>
      </c>
      <c r="H27" s="14">
        <f>CORREL(Aux_Rangos!F$2:F$172,Aux_Rangos!G$2:G$172)</f>
        <v>0.13009021303736873</v>
      </c>
      <c r="I27" s="14">
        <f>CORREL(Aux_Rangos!F$2:F$172,Aux_Rangos!H$2:H$172)</f>
        <v>0.18533008079363483</v>
      </c>
      <c r="J27" s="14">
        <f>CORREL(Aux_Rangos!F$2:F$172,Aux_Rangos!I$2:I$172)</f>
        <v>-1.8252359930244082E-2</v>
      </c>
      <c r="K27" s="14">
        <f>CORREL(Aux_Rangos!F$2:F$172,Aux_Rangos!J$2:J$172)</f>
        <v>0.24367250703989932</v>
      </c>
      <c r="L27" s="14">
        <f>CORREL(Aux_Rangos!F$2:F$172,Aux_Rangos!K$2:K$172)</f>
        <v>7.6747960639675979E-3</v>
      </c>
      <c r="M27" s="14">
        <f>CORREL(Aux_Rangos!F$2:F$172,Aux_Rangos!L$2:L$172)</f>
        <v>4.6858470007709832E-2</v>
      </c>
    </row>
    <row r="28" spans="1:13" ht="15" customHeight="1" x14ac:dyDescent="0.45">
      <c r="A28" s="2" t="s">
        <v>13</v>
      </c>
      <c r="B28" s="13">
        <f>CORREL(Aux_Rangos!G$2:G$172,Aux_Rangos!A$2:A$172)</f>
        <v>0.15814889361381776</v>
      </c>
      <c r="C28" s="13">
        <f>CORREL(Aux_Rangos!G$2:G$172,Aux_Rangos!B$2:B$172)</f>
        <v>0.1575718541533094</v>
      </c>
      <c r="D28" s="13">
        <f>CORREL(Aux_Rangos!G$2:G$172,Aux_Rangos!C$2:C$172)</f>
        <v>2.7077823319304493E-2</v>
      </c>
      <c r="E28" s="13">
        <f>CORREL(Aux_Rangos!G$2:G$172,Aux_Rangos!D$2:D$172)</f>
        <v>2.2726997538091792E-2</v>
      </c>
      <c r="F28" s="13">
        <f>CORREL(Aux_Rangos!G$2:G$172,Aux_Rangos!E$2:E$172)</f>
        <v>-0.19233654395208447</v>
      </c>
      <c r="G28" s="13">
        <f>CORREL(Aux_Rangos!G$2:G$172,Aux_Rangos!F$2:F$172)</f>
        <v>0.13009021303736873</v>
      </c>
      <c r="H28" s="15">
        <v>1</v>
      </c>
      <c r="I28" s="13">
        <f>CORREL(Aux_Rangos!G$2:G$172,Aux_Rangos!H$2:H$172)</f>
        <v>0.53400826653110001</v>
      </c>
      <c r="J28" s="13">
        <f>CORREL(Aux_Rangos!G$2:G$172,Aux_Rangos!I$2:I$172)</f>
        <v>0.32440704074283416</v>
      </c>
      <c r="K28" s="13">
        <f>CORREL(Aux_Rangos!G$2:G$172,Aux_Rangos!J$2:J$172)</f>
        <v>0.26467884760429439</v>
      </c>
      <c r="L28" s="13">
        <f>CORREL(Aux_Rangos!G$2:G$172,Aux_Rangos!K$2:K$172)</f>
        <v>0.21492184900855074</v>
      </c>
      <c r="M28" s="13">
        <f>CORREL(Aux_Rangos!G$2:G$172,Aux_Rangos!L$2:L$172)</f>
        <v>0.36772064810524846</v>
      </c>
    </row>
    <row r="29" spans="1:13" ht="15" customHeight="1" x14ac:dyDescent="0.45">
      <c r="A29" s="4" t="s">
        <v>14</v>
      </c>
      <c r="B29" s="14">
        <f>CORREL(Aux_Rangos!H$2:H$172,Aux_Rangos!A$2:A$172)</f>
        <v>7.2556545880451642E-2</v>
      </c>
      <c r="C29" s="14">
        <f>CORREL(Aux_Rangos!H$2:H$172,Aux_Rangos!B$2:B$172)</f>
        <v>8.0887380123850203E-2</v>
      </c>
      <c r="D29" s="14">
        <f>CORREL(Aux_Rangos!H$2:H$172,Aux_Rangos!C$2:C$172)</f>
        <v>-2.1879565854831563E-2</v>
      </c>
      <c r="E29" s="14">
        <f>CORREL(Aux_Rangos!H$2:H$172,Aux_Rangos!D$2:D$172)</f>
        <v>1.7100799930053121E-2</v>
      </c>
      <c r="F29" s="14">
        <f>CORREL(Aux_Rangos!H$2:H$172,Aux_Rangos!E$2:E$172)</f>
        <v>-0.2009566767832679</v>
      </c>
      <c r="G29" s="14">
        <f>CORREL(Aux_Rangos!H$2:H$172,Aux_Rangos!F$2:F$172)</f>
        <v>0.18533008079363483</v>
      </c>
      <c r="H29" s="14">
        <f>CORREL(Aux_Rangos!H$2:H$172,Aux_Rangos!G$2:G$172)</f>
        <v>0.53400826653110001</v>
      </c>
      <c r="I29" s="15">
        <v>1</v>
      </c>
      <c r="J29" s="14">
        <f>CORREL(Aux_Rangos!H$2:H$172,Aux_Rangos!I$2:I$172)</f>
        <v>0.28202572272884069</v>
      </c>
      <c r="K29" s="14">
        <f>CORREL(Aux_Rangos!H$2:H$172,Aux_Rangos!J$2:J$172)</f>
        <v>0.32959762128400183</v>
      </c>
      <c r="L29" s="14">
        <f>CORREL(Aux_Rangos!H$2:H$172,Aux_Rangos!K$2:K$172)</f>
        <v>0.26969155815513096</v>
      </c>
      <c r="M29" s="14">
        <f>CORREL(Aux_Rangos!H$2:H$172,Aux_Rangos!L$2:L$172)</f>
        <v>0.26136337191739634</v>
      </c>
    </row>
    <row r="30" spans="1:13" ht="15" customHeight="1" x14ac:dyDescent="0.45">
      <c r="A30" s="2" t="s">
        <v>15</v>
      </c>
      <c r="B30" s="13">
        <f>CORREL(Aux_Rangos!I$2:I$172,Aux_Rangos!A$2:A$172)</f>
        <v>0.2227997071690655</v>
      </c>
      <c r="C30" s="13">
        <f>CORREL(Aux_Rangos!I$2:I$172,Aux_Rangos!B$2:B$172)</f>
        <v>6.7916695656540155E-2</v>
      </c>
      <c r="D30" s="13">
        <f>CORREL(Aux_Rangos!I$2:I$172,Aux_Rangos!C$2:C$172)</f>
        <v>8.7576421782553288E-2</v>
      </c>
      <c r="E30" s="13">
        <f>CORREL(Aux_Rangos!I$2:I$172,Aux_Rangos!D$2:D$172)</f>
        <v>1.8830983036684887E-2</v>
      </c>
      <c r="F30" s="13">
        <f>CORREL(Aux_Rangos!I$2:I$172,Aux_Rangos!E$2:E$172)</f>
        <v>4.8468483898518606E-2</v>
      </c>
      <c r="G30" s="13">
        <f>CORREL(Aux_Rangos!I$2:I$172,Aux_Rangos!F$2:F$172)</f>
        <v>-1.8252359930244082E-2</v>
      </c>
      <c r="H30" s="13">
        <f>CORREL(Aux_Rangos!I$2:I$172,Aux_Rangos!G$2:G$172)</f>
        <v>0.32440704074283416</v>
      </c>
      <c r="I30" s="13">
        <f>CORREL(Aux_Rangos!I$2:I$172,Aux_Rangos!H$2:H$172)</f>
        <v>0.28202572272884069</v>
      </c>
      <c r="J30" s="15">
        <v>1</v>
      </c>
      <c r="K30" s="13">
        <f>CORREL(Aux_Rangos!I$2:I$172,Aux_Rangos!J$2:J$172)</f>
        <v>0.24057555687001281</v>
      </c>
      <c r="L30" s="13">
        <f>CORREL(Aux_Rangos!I$2:I$172,Aux_Rangos!K$2:K$172)</f>
        <v>0.32345270504658785</v>
      </c>
      <c r="M30" s="13">
        <f>CORREL(Aux_Rangos!I$2:I$172,Aux_Rangos!L$2:L$172)</f>
        <v>0.29838568209335592</v>
      </c>
    </row>
    <row r="31" spans="1:13" ht="15" customHeight="1" x14ac:dyDescent="0.45">
      <c r="A31" s="4" t="s">
        <v>16</v>
      </c>
      <c r="B31" s="14">
        <f>CORREL(Aux_Rangos!J$2:J$172,Aux_Rangos!A$2:A$172)</f>
        <v>7.4578048030288571E-2</v>
      </c>
      <c r="C31" s="14">
        <f>CORREL(Aux_Rangos!J$2:J$172,Aux_Rangos!B$2:B$172)</f>
        <v>0.13121009709293041</v>
      </c>
      <c r="D31" s="14">
        <f>CORREL(Aux_Rangos!J$2:J$172,Aux_Rangos!C$2:C$172)</f>
        <v>5.0662844317749658E-2</v>
      </c>
      <c r="E31" s="14">
        <f>CORREL(Aux_Rangos!J$2:J$172,Aux_Rangos!D$2:D$172)</f>
        <v>2.3398983277797734E-2</v>
      </c>
      <c r="F31" s="14">
        <f>CORREL(Aux_Rangos!J$2:J$172,Aux_Rangos!E$2:E$172)</f>
        <v>2.7191342201740749E-2</v>
      </c>
      <c r="G31" s="14">
        <f>CORREL(Aux_Rangos!J$2:J$172,Aux_Rangos!F$2:F$172)</f>
        <v>0.24367250703989932</v>
      </c>
      <c r="H31" s="14">
        <f>CORREL(Aux_Rangos!J$2:J$172,Aux_Rangos!G$2:G$172)</f>
        <v>0.26467884760429439</v>
      </c>
      <c r="I31" s="14">
        <f>CORREL(Aux_Rangos!J$2:J$172,Aux_Rangos!H$2:H$172)</f>
        <v>0.32959762128400183</v>
      </c>
      <c r="J31" s="14">
        <f>CORREL(Aux_Rangos!J$2:J$172,Aux_Rangos!I$2:I$172)</f>
        <v>0.24057555687001281</v>
      </c>
      <c r="K31" s="15">
        <v>1</v>
      </c>
      <c r="L31" s="14">
        <f>CORREL(Aux_Rangos!J$2:J$172,Aux_Rangos!K$2:K$172)</f>
        <v>0.13764349262349995</v>
      </c>
      <c r="M31" s="14">
        <f>CORREL(Aux_Rangos!J$2:J$172,Aux_Rangos!L$2:L$172)</f>
        <v>0.19655856475496716</v>
      </c>
    </row>
    <row r="32" spans="1:13" ht="15" customHeight="1" x14ac:dyDescent="0.45">
      <c r="A32" s="2" t="s">
        <v>17</v>
      </c>
      <c r="B32" s="13">
        <f>CORREL(Aux_Rangos!K$2:K$172,Aux_Rangos!A$2:A$172)</f>
        <v>8.7767573432574492E-2</v>
      </c>
      <c r="C32" s="13">
        <f>CORREL(Aux_Rangos!K$2:K$172,Aux_Rangos!B$2:B$172)</f>
        <v>-0.10894076752718575</v>
      </c>
      <c r="D32" s="13">
        <f>CORREL(Aux_Rangos!K$2:K$172,Aux_Rangos!C$2:C$172)</f>
        <v>7.0658721140922615E-2</v>
      </c>
      <c r="E32" s="13">
        <f>CORREL(Aux_Rangos!K$2:K$172,Aux_Rangos!D$2:D$172)</f>
        <v>3.9431822730160951E-2</v>
      </c>
      <c r="F32" s="13">
        <f>CORREL(Aux_Rangos!K$2:K$172,Aux_Rangos!E$2:E$172)</f>
        <v>-0.10357340953852658</v>
      </c>
      <c r="G32" s="13">
        <f>CORREL(Aux_Rangos!K$2:K$172,Aux_Rangos!F$2:F$172)</f>
        <v>7.6747960639675979E-3</v>
      </c>
      <c r="H32" s="13">
        <f>CORREL(Aux_Rangos!K$2:K$172,Aux_Rangos!G$2:G$172)</f>
        <v>0.21492184900855074</v>
      </c>
      <c r="I32" s="13">
        <f>CORREL(Aux_Rangos!K$2:K$172,Aux_Rangos!H$2:H$172)</f>
        <v>0.26969155815513096</v>
      </c>
      <c r="J32" s="13">
        <f>CORREL(Aux_Rangos!K$2:K$172,Aux_Rangos!I$2:I$172)</f>
        <v>0.32345270504658785</v>
      </c>
      <c r="K32" s="13">
        <f>CORREL(Aux_Rangos!K$2:K$172,Aux_Rangos!J$2:J$172)</f>
        <v>0.13764349262349995</v>
      </c>
      <c r="L32" s="15">
        <v>1</v>
      </c>
      <c r="M32" s="13">
        <f>CORREL(Aux_Rangos!K$2:K$172,Aux_Rangos!L$2:L$172)</f>
        <v>0.17159215743956305</v>
      </c>
    </row>
    <row r="33" spans="1:13" ht="15" customHeight="1" x14ac:dyDescent="0.45">
      <c r="A33" s="4" t="s">
        <v>18</v>
      </c>
      <c r="B33" s="14">
        <f>CORREL(Aux_Rangos!L$2:L$172,Aux_Rangos!A$2:A$172)</f>
        <v>0.18983702775844905</v>
      </c>
      <c r="C33" s="14">
        <f>CORREL(Aux_Rangos!L$2:L$172,Aux_Rangos!B$2:B$172)</f>
        <v>0.23892056595832939</v>
      </c>
      <c r="D33" s="14">
        <f>CORREL(Aux_Rangos!L$2:L$172,Aux_Rangos!C$2:C$172)</f>
        <v>0.10774932041135539</v>
      </c>
      <c r="E33" s="14">
        <f>CORREL(Aux_Rangos!L$2:L$172,Aux_Rangos!D$2:D$172)</f>
        <v>8.6489153729929269E-2</v>
      </c>
      <c r="F33" s="14">
        <f>CORREL(Aux_Rangos!L$2:L$172,Aux_Rangos!E$2:E$172)</f>
        <v>-3.13912870757527E-2</v>
      </c>
      <c r="G33" s="14">
        <f>CORREL(Aux_Rangos!L$2:L$172,Aux_Rangos!F$2:F$172)</f>
        <v>4.6858470007709832E-2</v>
      </c>
      <c r="H33" s="14">
        <f>CORREL(Aux_Rangos!L$2:L$172,Aux_Rangos!G$2:G$172)</f>
        <v>0.36772064810524846</v>
      </c>
      <c r="I33" s="14">
        <f>CORREL(Aux_Rangos!L$2:L$172,Aux_Rangos!H$2:H$172)</f>
        <v>0.26136337191739634</v>
      </c>
      <c r="J33" s="14">
        <f>CORREL(Aux_Rangos!L$2:L$172,Aux_Rangos!I$2:I$172)</f>
        <v>0.29838568209335592</v>
      </c>
      <c r="K33" s="14">
        <f>CORREL(Aux_Rangos!L$2:L$172,Aux_Rangos!J$2:J$172)</f>
        <v>0.19655856475496716</v>
      </c>
      <c r="L33" s="14">
        <f>CORREL(Aux_Rangos!L$2:L$172,Aux_Rangos!K$2:K$172)</f>
        <v>0.17159215743956305</v>
      </c>
      <c r="M33" s="15">
        <v>1</v>
      </c>
    </row>
    <row r="34" spans="1:13" x14ac:dyDescent="0.45">
      <c r="A34" s="16" t="s">
        <v>85</v>
      </c>
    </row>
    <row r="35" spans="1:13" x14ac:dyDescent="0.45">
      <c r="A35" s="16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zoomScaleNormal="100" workbookViewId="0">
      <selection activeCell="H7" sqref="H7"/>
    </sheetView>
  </sheetViews>
  <sheetFormatPr defaultColWidth="8.6640625" defaultRowHeight="14.25" x14ac:dyDescent="0.45"/>
  <cols>
    <col min="1" max="1" width="24" customWidth="1"/>
    <col min="2" max="3" width="10" customWidth="1"/>
    <col min="4" max="4" width="13" customWidth="1"/>
    <col min="5" max="5" width="10" customWidth="1"/>
    <col min="6" max="6" width="13" customWidth="1"/>
  </cols>
  <sheetData>
    <row r="1" spans="1:6" ht="15" customHeight="1" x14ac:dyDescent="0.45">
      <c r="A1" s="6" t="s">
        <v>87</v>
      </c>
    </row>
    <row r="2" spans="1:6" ht="53.25" customHeight="1" x14ac:dyDescent="0.45">
      <c r="A2" s="16" t="s">
        <v>129</v>
      </c>
    </row>
    <row r="3" spans="1:6" ht="15" customHeight="1" x14ac:dyDescent="0.45">
      <c r="A3" s="1" t="s">
        <v>57</v>
      </c>
      <c r="B3" s="1" t="s">
        <v>88</v>
      </c>
      <c r="C3" s="1" t="s">
        <v>89</v>
      </c>
      <c r="D3" s="1" t="s">
        <v>80</v>
      </c>
      <c r="E3" s="1" t="s">
        <v>81</v>
      </c>
      <c r="F3" s="1" t="s">
        <v>82</v>
      </c>
    </row>
    <row r="4" spans="1:6" ht="15" customHeight="1" x14ac:dyDescent="0.45">
      <c r="A4" s="3" t="s">
        <v>90</v>
      </c>
      <c r="B4" s="13">
        <f>INDEX(LINEST('1. Datos'!P$2:P$172,CHOOSE({1,2,3,4},'1. Datos'!H$2:H$172,'1. Datos'!J$2:J$172,'1. Datos'!L$2:L$172,'1. Datos'!N$2:N$172),TRUE(),TRUE()),1,5)</f>
        <v>1.8224661557236348</v>
      </c>
      <c r="C4" s="13">
        <f>INDEX(LINEST('1. Datos'!P$2:P$172,CHOOSE({1,2,3,4},'1. Datos'!H$2:H$172,'1. Datos'!J$2:J$172,'1. Datos'!L$2:L$172,'1. Datos'!N$2:N$172),TRUE(),TRUE()),2,5)</f>
        <v>0.51655871131878051</v>
      </c>
      <c r="D4" s="13">
        <f>B4/C4</f>
        <v>3.5280910297124932</v>
      </c>
      <c r="E4" s="2" t="str">
        <f>IF(TDIST(ABS(D4),166,2)&lt;0.001,"&lt;0.001",ROUND(TDIST(ABS(D4),166,2),4))</f>
        <v>&lt;0.001</v>
      </c>
      <c r="F4" s="2" t="str">
        <f>IF(TDIST(ABS(D4),166,2)&lt;0.001,"***",IF(TDIST(ABS(D4),166,2)&lt;0.01,"**",IF(TDIST(ABS(D4),166,2)&lt;0.05,"*","n.s.")))</f>
        <v>***</v>
      </c>
    </row>
    <row r="5" spans="1:6" ht="15" customHeight="1" x14ac:dyDescent="0.45">
      <c r="A5" s="5" t="s">
        <v>91</v>
      </c>
      <c r="B5" s="14">
        <f>INDEX(LINEST('1. Datos'!P$2:P$172,CHOOSE({1,2,3,4},'1. Datos'!H$2:H$172,'1. Datos'!J$2:J$172,'1. Datos'!L$2:L$172,'1. Datos'!N$2:N$172),TRUE(),TRUE()),1,4)</f>
        <v>0.19335989679009846</v>
      </c>
      <c r="C5" s="14">
        <f>INDEX(LINEST('1. Datos'!P$2:P$172,CHOOSE({1,2,3,4},'1. Datos'!H$2:H$172,'1. Datos'!J$2:J$172,'1. Datos'!L$2:L$172,'1. Datos'!N$2:N$172),TRUE(),TRUE()),2,4)</f>
        <v>7.9355357430557869E-2</v>
      </c>
      <c r="D5" s="14">
        <f>B5/C5</f>
        <v>2.4366331782867143</v>
      </c>
      <c r="E5" s="4">
        <f>IF(TDIST(ABS(D5),166,2)&lt;0.001,"&lt;0.001",ROUND(TDIST(ABS(D5),166,2),4))</f>
        <v>1.5900000000000001E-2</v>
      </c>
      <c r="F5" s="4" t="str">
        <f>IF(TDIST(ABS(D5),166,2)&lt;0.001,"***",IF(TDIST(ABS(D5),166,2)&lt;0.01,"**",IF(TDIST(ABS(D5),166,2)&lt;0.05,"*","n.s.")))</f>
        <v>*</v>
      </c>
    </row>
    <row r="6" spans="1:6" ht="15" customHeight="1" x14ac:dyDescent="0.45">
      <c r="A6" s="3" t="s">
        <v>92</v>
      </c>
      <c r="B6" s="13">
        <f>INDEX(LINEST('1. Datos'!P$2:P$172,CHOOSE({1,2,3,4},'1. Datos'!H$2:H$172,'1. Datos'!J$2:J$172,'1. Datos'!L$2:L$172,'1. Datos'!N$2:N$172),TRUE(),TRUE()),1,3)</f>
        <v>6.9905893140389586E-2</v>
      </c>
      <c r="C6" s="13">
        <f>INDEX(LINEST('1. Datos'!P$2:P$172,CHOOSE({1,2,3,4},'1. Datos'!H$2:H$172,'1. Datos'!J$2:J$172,'1. Datos'!L$2:L$172,'1. Datos'!N$2:N$172),TRUE(),TRUE()),2,3)</f>
        <v>6.6406782354945029E-2</v>
      </c>
      <c r="D6" s="13">
        <f>B6/C6</f>
        <v>1.0526920694145632</v>
      </c>
      <c r="E6" s="2">
        <f>IF(TDIST(ABS(D6),166,2)&lt;0.001,"&lt;0.001",ROUND(TDIST(ABS(D6),166,2),4))</f>
        <v>0.29399999999999998</v>
      </c>
      <c r="F6" s="2" t="str">
        <f>IF(TDIST(ABS(D6),166,2)&lt;0.001,"***",IF(TDIST(ABS(D6),166,2)&lt;0.01,"**",IF(TDIST(ABS(D6),166,2)&lt;0.05,"*","n.s.")))</f>
        <v>n.s.</v>
      </c>
    </row>
    <row r="7" spans="1:6" ht="15" customHeight="1" x14ac:dyDescent="0.45">
      <c r="A7" s="5" t="s">
        <v>93</v>
      </c>
      <c r="B7" s="14">
        <f>INDEX(LINEST('1. Datos'!P$2:P$172,CHOOSE({1,2,3,4},'1. Datos'!H$2:H$172,'1. Datos'!J$2:J$172,'1. Datos'!L$2:L$172,'1. Datos'!N$2:N$172),TRUE(),TRUE()),1,2)</f>
        <v>0.10009829138649781</v>
      </c>
      <c r="C7" s="14">
        <f>INDEX(LINEST('1. Datos'!P$2:P$172,CHOOSE({1,2,3,4},'1. Datos'!H$2:H$172,'1. Datos'!J$2:J$172,'1. Datos'!L$2:L$172,'1. Datos'!N$2:N$172),TRUE(),TRUE()),2,2)</f>
        <v>6.359906545493936E-2</v>
      </c>
      <c r="D7" s="14">
        <f>B7/C7</f>
        <v>1.5738956330642713</v>
      </c>
      <c r="E7" s="4">
        <f>IF(TDIST(ABS(D7),166,2)&lt;0.001,"&lt;0.001",ROUND(TDIST(ABS(D7),166,2),4))</f>
        <v>0.1174</v>
      </c>
      <c r="F7" s="4" t="str">
        <f>IF(TDIST(ABS(D7),166,2)&lt;0.001,"***",IF(TDIST(ABS(D7),166,2)&lt;0.01,"**",IF(TDIST(ABS(D7),166,2)&lt;0.05,"*","n.s.")))</f>
        <v>n.s.</v>
      </c>
    </row>
    <row r="8" spans="1:6" ht="15" customHeight="1" x14ac:dyDescent="0.45">
      <c r="A8" s="3" t="s">
        <v>94</v>
      </c>
      <c r="B8" s="13">
        <f>INDEX(LINEST('1. Datos'!P$2:P$172,CHOOSE({1,2,3,4},'1. Datos'!H$2:H$172,'1. Datos'!J$2:J$172,'1. Datos'!L$2:L$172,'1. Datos'!N$2:N$172),TRUE(),TRUE()),1,1)</f>
        <v>0.25114143244417692</v>
      </c>
      <c r="C8" s="13">
        <f>INDEX(LINEST('1. Datos'!P$2:P$172,CHOOSE({1,2,3,4},'1. Datos'!H$2:H$172,'1. Datos'!J$2:J$172,'1. Datos'!L$2:L$172,'1. Datos'!N$2:N$172),TRUE(),TRUE()),2,1)</f>
        <v>5.3010769862179799E-2</v>
      </c>
      <c r="D8" s="13">
        <f>B8/C8</f>
        <v>4.7375548986952589</v>
      </c>
      <c r="E8" s="2" t="str">
        <f>IF(TDIST(ABS(D8),166,2)&lt;0.001,"&lt;0.001",ROUND(TDIST(ABS(D8),166,2),4))</f>
        <v>&lt;0.001</v>
      </c>
      <c r="F8" s="2" t="str">
        <f>IF(TDIST(ABS(D8),166,2)&lt;0.001,"***",IF(TDIST(ABS(D8),166,2)&lt;0.01,"**",IF(TDIST(ABS(D8),166,2)&lt;0.05,"*","n.s.")))</f>
        <v>***</v>
      </c>
    </row>
    <row r="10" spans="1:6" ht="15" customHeight="1" x14ac:dyDescent="0.45">
      <c r="A10" s="17" t="s">
        <v>95</v>
      </c>
      <c r="B10" s="18">
        <f>INDEX(LINEST('1. Datos'!P$2:P$172,CHOOSE({1,2,3,4},'1. Datos'!H$2:H$172,'1. Datos'!J$2:J$172,'1. Datos'!L$2:L$172,'1. Datos'!N$2:N$172),TRUE(),TRUE()),3,1)</f>
        <v>0.18576540911501507</v>
      </c>
    </row>
    <row r="11" spans="1:6" ht="15" customHeight="1" x14ac:dyDescent="0.45">
      <c r="A11" s="17" t="s">
        <v>96</v>
      </c>
      <c r="B11" s="18">
        <f>1-(1-B10)*(171-1)/(171-4-1)</f>
        <v>0.16614529849128046</v>
      </c>
    </row>
    <row r="12" spans="1:6" ht="15" customHeight="1" x14ac:dyDescent="0.45">
      <c r="A12" s="2" t="s">
        <v>59</v>
      </c>
      <c r="B12" s="2">
        <v>171</v>
      </c>
    </row>
    <row r="14" spans="1:6" ht="32.25" customHeight="1" x14ac:dyDescent="0.45">
      <c r="A14" s="16" t="s">
        <v>131</v>
      </c>
    </row>
    <row r="15" spans="1:6" x14ac:dyDescent="0.45">
      <c r="A15" s="16" t="s">
        <v>97</v>
      </c>
    </row>
    <row r="17" spans="1:6" ht="15" customHeight="1" x14ac:dyDescent="0.45">
      <c r="A17" s="6" t="s">
        <v>98</v>
      </c>
    </row>
    <row r="18" spans="1:6" ht="32.25" customHeight="1" x14ac:dyDescent="0.45">
      <c r="A18" s="16" t="s">
        <v>99</v>
      </c>
    </row>
    <row r="19" spans="1:6" ht="15" customHeight="1" x14ac:dyDescent="0.45">
      <c r="A19" s="1" t="s">
        <v>57</v>
      </c>
      <c r="B19" s="1" t="s">
        <v>88</v>
      </c>
      <c r="C19" s="1" t="s">
        <v>89</v>
      </c>
      <c r="D19" s="1" t="s">
        <v>80</v>
      </c>
      <c r="E19" s="1" t="s">
        <v>130</v>
      </c>
      <c r="F19" s="1" t="s">
        <v>82</v>
      </c>
    </row>
    <row r="20" spans="1:6" ht="15" customHeight="1" x14ac:dyDescent="0.45">
      <c r="A20" s="3" t="s">
        <v>90</v>
      </c>
      <c r="B20" s="13">
        <f>INDEX(LINEST('1. Datos'!R$2:R$172,'1. Datos'!P$2:P$172,TRUE(),TRUE()),1,2)</f>
        <v>3.1316476954655768</v>
      </c>
      <c r="C20" s="13">
        <f>INDEX(LINEST('1. Datos'!R$2:R$172,'1. Datos'!P$2:P$172,TRUE(),TRUE()),2,2)</f>
        <v>0.30161184282851411</v>
      </c>
      <c r="D20" s="13">
        <f>B20/C20</f>
        <v>10.383039558715609</v>
      </c>
      <c r="E20" s="2" t="str">
        <f>IF(TDIST(ABS(D20),169,2)&lt;0.001,"&lt;0.001",ROUND(TDIST(ABS(D20),169,2),4))</f>
        <v>&lt;0.001</v>
      </c>
      <c r="F20" s="2" t="str">
        <f>IF(TDIST(ABS(D20),169,2)&lt;0.001,"***",IF(TDIST(ABS(D20),169,2)&lt;0.01,"**",IF(TDIST(ABS(D20),169,2)&lt;0.05,"*","n.s.")))</f>
        <v>***</v>
      </c>
    </row>
    <row r="21" spans="1:6" ht="15" customHeight="1" x14ac:dyDescent="0.45">
      <c r="A21" s="19" t="s">
        <v>75</v>
      </c>
      <c r="B21" s="20">
        <f>INDEX(LINEST('1. Datos'!R$2:R$172,'1. Datos'!P$2:P$172,TRUE(),TRUE()),1,1)</f>
        <v>0.32534054860981421</v>
      </c>
      <c r="C21" s="20">
        <f>INDEX(LINEST('1. Datos'!R$2:R$172,'1. Datos'!P$2:P$172,TRUE(),TRUE()),2,1)</f>
        <v>6.6130912112661394E-2</v>
      </c>
      <c r="D21" s="20">
        <f>B21/C21</f>
        <v>4.9196440547434195</v>
      </c>
      <c r="E21" s="21" t="str">
        <f>IF(TDIST(ABS(D21),169,2)&lt;0.001,"&lt;0.001",ROUND(TDIST(ABS(D21),169,2),4))</f>
        <v>&lt;0.001</v>
      </c>
      <c r="F21" s="21" t="str">
        <f>IF(TDIST(ABS(D21),169,2)&lt;0.001,"***",IF(TDIST(ABS(D21),169,2)&lt;0.01,"**",IF(TDIST(ABS(D21),169,2)&lt;0.05,"*","n.s.")))</f>
        <v>***</v>
      </c>
    </row>
    <row r="23" spans="1:6" ht="15" customHeight="1" x14ac:dyDescent="0.45">
      <c r="A23" s="17" t="s">
        <v>95</v>
      </c>
      <c r="B23" s="18">
        <f>INDEX(LINEST('1. Datos'!R$2:R$172,'1. Datos'!P$2:P$172,TRUE(),TRUE()),3,1)</f>
        <v>0.12527191839691298</v>
      </c>
    </row>
    <row r="24" spans="1:6" ht="15" customHeight="1" x14ac:dyDescent="0.45">
      <c r="A24" s="17" t="s">
        <v>96</v>
      </c>
      <c r="B24" s="18">
        <f>1-(1-B23)*(171-1)/(171-1-1)</f>
        <v>0.12009601258861058</v>
      </c>
    </row>
    <row r="26" spans="1:6" ht="42.75" customHeight="1" x14ac:dyDescent="0.45">
      <c r="A26" s="16" t="s">
        <v>100</v>
      </c>
    </row>
    <row r="27" spans="1:6" x14ac:dyDescent="0.45">
      <c r="A27" s="16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zoomScaleNormal="100" workbookViewId="0">
      <selection activeCell="F3" sqref="F3"/>
    </sheetView>
  </sheetViews>
  <sheetFormatPr defaultColWidth="8.6640625" defaultRowHeight="14.25" x14ac:dyDescent="0.45"/>
  <cols>
    <col min="1" max="1" width="30" customWidth="1"/>
    <col min="2" max="2" width="15.796875" customWidth="1"/>
    <col min="3" max="3" width="16.73046875" customWidth="1"/>
    <col min="4" max="14" width="6" customWidth="1"/>
  </cols>
  <sheetData>
    <row r="1" spans="1:14" ht="15" customHeight="1" x14ac:dyDescent="0.45">
      <c r="A1" s="6" t="s">
        <v>102</v>
      </c>
    </row>
    <row r="2" spans="1:14" ht="42.75" customHeight="1" x14ac:dyDescent="0.45">
      <c r="A2" s="16" t="s">
        <v>126</v>
      </c>
    </row>
    <row r="3" spans="1:14" ht="15" customHeight="1" x14ac:dyDescent="0.45">
      <c r="A3" s="1" t="s">
        <v>103</v>
      </c>
      <c r="B3" s="1" t="s">
        <v>104</v>
      </c>
      <c r="C3" s="1" t="s">
        <v>105</v>
      </c>
    </row>
    <row r="4" spans="1:14" ht="15" customHeight="1" x14ac:dyDescent="0.45">
      <c r="A4" s="2">
        <v>2</v>
      </c>
      <c r="B4" s="22">
        <v>1741.7</v>
      </c>
      <c r="C4" s="2" t="s">
        <v>106</v>
      </c>
    </row>
    <row r="5" spans="1:14" ht="15" customHeight="1" x14ac:dyDescent="0.45">
      <c r="A5" s="23">
        <v>3</v>
      </c>
      <c r="B5" s="24">
        <v>1595.7</v>
      </c>
      <c r="C5" s="25">
        <f>B4-B5</f>
        <v>146</v>
      </c>
    </row>
    <row r="6" spans="1:14" ht="15" customHeight="1" x14ac:dyDescent="0.45">
      <c r="A6" s="2">
        <v>4</v>
      </c>
      <c r="B6" s="22">
        <v>1473</v>
      </c>
      <c r="C6" s="22">
        <f>B5-B6</f>
        <v>122.70000000000005</v>
      </c>
    </row>
    <row r="7" spans="1:14" ht="15" customHeight="1" x14ac:dyDescent="0.45">
      <c r="A7" s="4">
        <v>5</v>
      </c>
      <c r="B7" s="26">
        <v>1386.7</v>
      </c>
      <c r="C7" s="26">
        <f>B6-B7</f>
        <v>86.299999999999955</v>
      </c>
    </row>
    <row r="9" spans="1:14" ht="32.25" customHeight="1" x14ac:dyDescent="0.45">
      <c r="A9" s="16" t="s">
        <v>128</v>
      </c>
    </row>
    <row r="11" spans="1:14" ht="15" customHeight="1" x14ac:dyDescent="0.45">
      <c r="A11" s="6" t="s">
        <v>107</v>
      </c>
    </row>
    <row r="12" spans="1:14" ht="15" customHeight="1" x14ac:dyDescent="0.45">
      <c r="A12" s="1" t="s">
        <v>108</v>
      </c>
      <c r="B12" s="1" t="s">
        <v>59</v>
      </c>
      <c r="C12" s="1" t="s">
        <v>7</v>
      </c>
      <c r="D12" s="1" t="s">
        <v>8</v>
      </c>
      <c r="E12" s="1" t="s">
        <v>9</v>
      </c>
      <c r="F12" s="1" t="s">
        <v>10</v>
      </c>
      <c r="G12" s="1" t="s">
        <v>11</v>
      </c>
      <c r="H12" s="1" t="s">
        <v>12</v>
      </c>
      <c r="I12" s="1" t="s">
        <v>13</v>
      </c>
      <c r="J12" s="1" t="s">
        <v>14</v>
      </c>
      <c r="K12" s="1" t="s">
        <v>15</v>
      </c>
      <c r="L12" s="1" t="s">
        <v>16</v>
      </c>
      <c r="M12" s="1" t="s">
        <v>17</v>
      </c>
      <c r="N12" s="1" t="s">
        <v>18</v>
      </c>
    </row>
    <row r="13" spans="1:14" ht="15" customHeight="1" x14ac:dyDescent="0.45">
      <c r="A13" s="3" t="s">
        <v>109</v>
      </c>
      <c r="B13" s="2">
        <v>92</v>
      </c>
      <c r="C13" s="7">
        <v>4.59</v>
      </c>
      <c r="D13" s="7">
        <v>4.26</v>
      </c>
      <c r="E13" s="7">
        <v>4.45</v>
      </c>
      <c r="F13" s="7">
        <v>4.21</v>
      </c>
      <c r="G13" s="7">
        <v>4.57</v>
      </c>
      <c r="H13" s="7">
        <v>4.58</v>
      </c>
      <c r="I13" s="7">
        <v>4.63</v>
      </c>
      <c r="J13" s="7">
        <v>4.67</v>
      </c>
      <c r="K13" s="11">
        <v>4.68</v>
      </c>
      <c r="L13" s="7">
        <v>4.68</v>
      </c>
      <c r="M13" s="7">
        <v>4.71</v>
      </c>
      <c r="N13" s="7">
        <v>4.57</v>
      </c>
    </row>
    <row r="14" spans="1:14" ht="15" customHeight="1" x14ac:dyDescent="0.45">
      <c r="A14" s="5" t="s">
        <v>110</v>
      </c>
      <c r="B14" s="4">
        <v>38</v>
      </c>
      <c r="C14" s="9">
        <v>4.29</v>
      </c>
      <c r="D14" s="9">
        <v>4.18</v>
      </c>
      <c r="E14" s="9">
        <v>4.34</v>
      </c>
      <c r="F14" s="9">
        <v>3.76</v>
      </c>
      <c r="G14" s="9">
        <v>4.47</v>
      </c>
      <c r="H14" s="9">
        <v>4.08</v>
      </c>
      <c r="I14" s="9">
        <v>3.26</v>
      </c>
      <c r="J14" s="9">
        <v>3.63</v>
      </c>
      <c r="K14" s="11">
        <v>3.95</v>
      </c>
      <c r="L14" s="9">
        <v>4.1100000000000003</v>
      </c>
      <c r="M14" s="9">
        <v>4.29</v>
      </c>
      <c r="N14" s="9">
        <v>3.74</v>
      </c>
    </row>
    <row r="15" spans="1:14" ht="15" customHeight="1" x14ac:dyDescent="0.45">
      <c r="A15" s="3" t="s">
        <v>111</v>
      </c>
      <c r="B15" s="2">
        <v>41</v>
      </c>
      <c r="C15" s="7">
        <v>4.59</v>
      </c>
      <c r="D15" s="7">
        <v>4.63</v>
      </c>
      <c r="E15" s="7">
        <v>3.85</v>
      </c>
      <c r="F15" s="7">
        <v>2.93</v>
      </c>
      <c r="G15" s="7">
        <v>3.73</v>
      </c>
      <c r="H15" s="7">
        <v>4.0199999999999996</v>
      </c>
      <c r="I15" s="7">
        <v>4.68</v>
      </c>
      <c r="J15" s="7">
        <v>4.6100000000000003</v>
      </c>
      <c r="K15" s="11">
        <v>4.68</v>
      </c>
      <c r="L15" s="7">
        <v>4.68</v>
      </c>
      <c r="M15" s="7">
        <v>4.66</v>
      </c>
      <c r="N15" s="7">
        <v>4.59</v>
      </c>
    </row>
    <row r="17" spans="1:1" ht="53.25" customHeight="1" x14ac:dyDescent="0.45">
      <c r="A17" s="16" t="s">
        <v>127</v>
      </c>
    </row>
    <row r="18" spans="1:1" x14ac:dyDescent="0.45">
      <c r="A18" s="16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6"/>
  <sheetViews>
    <sheetView zoomScaleNormal="100" workbookViewId="0"/>
  </sheetViews>
  <sheetFormatPr defaultColWidth="8.6640625" defaultRowHeight="14.25" x14ac:dyDescent="0.45"/>
  <cols>
    <col min="1" max="1" width="36" customWidth="1"/>
    <col min="2" max="2" width="55" customWidth="1"/>
    <col min="3" max="3" width="12" customWidth="1"/>
    <col min="10" max="10" width="16" customWidth="1"/>
  </cols>
  <sheetData>
    <row r="1" spans="1:10" ht="15" customHeight="1" x14ac:dyDescent="0.45">
      <c r="A1" s="6" t="s">
        <v>113</v>
      </c>
    </row>
    <row r="2" spans="1:10" ht="32.25" customHeight="1" x14ac:dyDescent="0.45">
      <c r="A2" s="16" t="s">
        <v>114</v>
      </c>
    </row>
    <row r="3" spans="1:10" ht="15" customHeight="1" x14ac:dyDescent="0.45">
      <c r="A3" s="1" t="s">
        <v>115</v>
      </c>
      <c r="B3" s="1" t="s">
        <v>116</v>
      </c>
      <c r="C3" s="1" t="s">
        <v>117</v>
      </c>
    </row>
    <row r="4" spans="1:10" ht="15" customHeight="1" x14ac:dyDescent="0.45">
      <c r="A4" s="3" t="s">
        <v>118</v>
      </c>
      <c r="B4" s="3">
        <f>12</f>
        <v>12</v>
      </c>
      <c r="C4" s="8">
        <f>B4</f>
        <v>12</v>
      </c>
      <c r="J4" s="27" t="s">
        <v>119</v>
      </c>
    </row>
    <row r="5" spans="1:10" ht="15" customHeight="1" x14ac:dyDescent="0.45">
      <c r="A5" s="5" t="s">
        <v>120</v>
      </c>
      <c r="B5" s="5">
        <f>VAR('1. Datos'!H$2:H$172)+VAR('1. Datos'!I$2:I$172)+VAR('1. Datos'!J$2:J$172)+VAR('1. Datos'!K$2:K$172)+VAR('1. Datos'!L$2:L$172)+VAR('1. Datos'!M$2:M$172)+VAR('1. Datos'!N$2:N$172)+VAR('1. Datos'!O$2:O$172)+VAR('1. Datos'!P$2:P$172)+VAR('1. Datos'!Q$2:Q$172)+VAR('1. Datos'!R$2:R$172)+VAR('1. Datos'!S$2:S$172)</f>
        <v>5.550808393532856</v>
      </c>
      <c r="C5" s="28">
        <f>VAR('1. Datos'!H$2:H$172)+VAR('1. Datos'!I$2:I$172)+VAR('1. Datos'!J$2:J$172)+VAR('1. Datos'!K$2:K$172)+VAR('1. Datos'!L$2:L$172)+VAR('1. Datos'!M$2:M$172)+VAR('1. Datos'!N$2:N$172)+VAR('1. Datos'!O$2:O$172)+VAR('1. Datos'!P$2:P$172)+VAR('1. Datos'!Q$2:Q$172)+VAR('1. Datos'!R$2:R$172)+VAR('1. Datos'!S$2:S$172)</f>
        <v>5.550808393532856</v>
      </c>
      <c r="J5" s="1" t="s">
        <v>121</v>
      </c>
    </row>
    <row r="6" spans="1:10" ht="15" customHeight="1" x14ac:dyDescent="0.45">
      <c r="A6" s="3" t="s">
        <v>122</v>
      </c>
      <c r="B6" s="3">
        <f>VAR(J6:J176)</f>
        <v>13.954248366013084</v>
      </c>
      <c r="C6" s="29">
        <f>VAR(J6:J176)</f>
        <v>13.954248366013084</v>
      </c>
      <c r="J6">
        <f>'1. Datos'!H2+'1. Datos'!I2+'1. Datos'!J2+'1. Datos'!K2+'1. Datos'!L2+'1. Datos'!M2+'1. Datos'!N2+'1. Datos'!O2+'1. Datos'!P2+'1. Datos'!Q2+'1. Datos'!R2+'1. Datos'!S2</f>
        <v>48</v>
      </c>
    </row>
    <row r="7" spans="1:10" ht="15" customHeight="1" x14ac:dyDescent="0.45">
      <c r="A7" s="30" t="s">
        <v>123</v>
      </c>
      <c r="B7" s="30">
        <f>(B4/(B4-1))*(1-B5/B6)</f>
        <v>0.65696043387156422</v>
      </c>
      <c r="C7" s="18">
        <f>(C4/(C4-1))*(1-C5/C6)</f>
        <v>0.65696043387156422</v>
      </c>
      <c r="J7">
        <f>'1. Datos'!H3+'1. Datos'!I3+'1. Datos'!J3+'1. Datos'!K3+'1. Datos'!L3+'1. Datos'!M3+'1. Datos'!N3+'1. Datos'!O3+'1. Datos'!P3+'1. Datos'!Q3+'1. Datos'!R3+'1. Datos'!S3</f>
        <v>43</v>
      </c>
    </row>
    <row r="8" spans="1:10" ht="15" customHeight="1" x14ac:dyDescent="0.45">
      <c r="J8">
        <f>'1. Datos'!H4+'1. Datos'!I4+'1. Datos'!J4+'1. Datos'!K4+'1. Datos'!L4+'1. Datos'!M4+'1. Datos'!N4+'1. Datos'!O4+'1. Datos'!P4+'1. Datos'!Q4+'1. Datos'!R4+'1. Datos'!S4</f>
        <v>48</v>
      </c>
    </row>
    <row r="9" spans="1:10" ht="42.75" customHeight="1" x14ac:dyDescent="0.45">
      <c r="A9" s="16" t="s">
        <v>124</v>
      </c>
      <c r="J9">
        <f>'1. Datos'!H5+'1. Datos'!I5+'1. Datos'!J5+'1. Datos'!K5+'1. Datos'!L5+'1. Datos'!M5+'1. Datos'!N5+'1. Datos'!O5+'1. Datos'!P5+'1. Datos'!Q5+'1. Datos'!R5+'1. Datos'!S5</f>
        <v>54</v>
      </c>
    </row>
    <row r="10" spans="1:10" ht="15" customHeight="1" x14ac:dyDescent="0.45">
      <c r="A10" s="16" t="s">
        <v>125</v>
      </c>
      <c r="J10">
        <f>'1. Datos'!H6+'1. Datos'!I6+'1. Datos'!J6+'1. Datos'!K6+'1. Datos'!L6+'1. Datos'!M6+'1. Datos'!N6+'1. Datos'!O6+'1. Datos'!P6+'1. Datos'!Q6+'1. Datos'!R6+'1. Datos'!S6</f>
        <v>53</v>
      </c>
    </row>
    <row r="11" spans="1:10" ht="15" customHeight="1" x14ac:dyDescent="0.45">
      <c r="J11">
        <f>'1. Datos'!H7+'1. Datos'!I7+'1. Datos'!J7+'1. Datos'!K7+'1. Datos'!L7+'1. Datos'!M7+'1. Datos'!N7+'1. Datos'!O7+'1. Datos'!P7+'1. Datos'!Q7+'1. Datos'!R7+'1. Datos'!S7</f>
        <v>53</v>
      </c>
    </row>
    <row r="12" spans="1:10" ht="15" customHeight="1" x14ac:dyDescent="0.45">
      <c r="J12">
        <f>'1. Datos'!H8+'1. Datos'!I8+'1. Datos'!J8+'1. Datos'!K8+'1. Datos'!L8+'1. Datos'!M8+'1. Datos'!N8+'1. Datos'!O8+'1. Datos'!P8+'1. Datos'!Q8+'1. Datos'!R8+'1. Datos'!S8</f>
        <v>53</v>
      </c>
    </row>
    <row r="13" spans="1:10" ht="15" customHeight="1" x14ac:dyDescent="0.45">
      <c r="J13">
        <f>'1. Datos'!H9+'1. Datos'!I9+'1. Datos'!J9+'1. Datos'!K9+'1. Datos'!L9+'1. Datos'!M9+'1. Datos'!N9+'1. Datos'!O9+'1. Datos'!P9+'1. Datos'!Q9+'1. Datos'!R9+'1. Datos'!S9</f>
        <v>53</v>
      </c>
    </row>
    <row r="14" spans="1:10" ht="15" customHeight="1" x14ac:dyDescent="0.45">
      <c r="J14">
        <f>'1. Datos'!H10+'1. Datos'!I10+'1. Datos'!J10+'1. Datos'!K10+'1. Datos'!L10+'1. Datos'!M10+'1. Datos'!N10+'1. Datos'!O10+'1. Datos'!P10+'1. Datos'!Q10+'1. Datos'!R10+'1. Datos'!S10</f>
        <v>56</v>
      </c>
    </row>
    <row r="15" spans="1:10" ht="15" customHeight="1" x14ac:dyDescent="0.45">
      <c r="J15">
        <f>'1. Datos'!H11+'1. Datos'!I11+'1. Datos'!J11+'1. Datos'!K11+'1. Datos'!L11+'1. Datos'!M11+'1. Datos'!N11+'1. Datos'!O11+'1. Datos'!P11+'1. Datos'!Q11+'1. Datos'!R11+'1. Datos'!S11</f>
        <v>53</v>
      </c>
    </row>
    <row r="16" spans="1:10" ht="15" customHeight="1" x14ac:dyDescent="0.45">
      <c r="J16">
        <f>'1. Datos'!H12+'1. Datos'!I12+'1. Datos'!J12+'1. Datos'!K12+'1. Datos'!L12+'1. Datos'!M12+'1. Datos'!N12+'1. Datos'!O12+'1. Datos'!P12+'1. Datos'!Q12+'1. Datos'!R12+'1. Datos'!S12</f>
        <v>52</v>
      </c>
    </row>
    <row r="17" spans="10:10" ht="15" customHeight="1" x14ac:dyDescent="0.45">
      <c r="J17">
        <f>'1. Datos'!H13+'1. Datos'!I13+'1. Datos'!J13+'1. Datos'!K13+'1. Datos'!L13+'1. Datos'!M13+'1. Datos'!N13+'1. Datos'!O13+'1. Datos'!P13+'1. Datos'!Q13+'1. Datos'!R13+'1. Datos'!S13</f>
        <v>55</v>
      </c>
    </row>
    <row r="18" spans="10:10" ht="15" customHeight="1" x14ac:dyDescent="0.45">
      <c r="J18">
        <f>'1. Datos'!H14+'1. Datos'!I14+'1. Datos'!J14+'1. Datos'!K14+'1. Datos'!L14+'1. Datos'!M14+'1. Datos'!N14+'1. Datos'!O14+'1. Datos'!P14+'1. Datos'!Q14+'1. Datos'!R14+'1. Datos'!S14</f>
        <v>45</v>
      </c>
    </row>
    <row r="19" spans="10:10" ht="15" customHeight="1" x14ac:dyDescent="0.45">
      <c r="J19">
        <f>'1. Datos'!H15+'1. Datos'!I15+'1. Datos'!J15+'1. Datos'!K15+'1. Datos'!L15+'1. Datos'!M15+'1. Datos'!N15+'1. Datos'!O15+'1. Datos'!P15+'1. Datos'!Q15+'1. Datos'!R15+'1. Datos'!S15</f>
        <v>53</v>
      </c>
    </row>
    <row r="20" spans="10:10" ht="15" customHeight="1" x14ac:dyDescent="0.45">
      <c r="J20">
        <f>'1. Datos'!H16+'1. Datos'!I16+'1. Datos'!J16+'1. Datos'!K16+'1. Datos'!L16+'1. Datos'!M16+'1. Datos'!N16+'1. Datos'!O16+'1. Datos'!P16+'1. Datos'!Q16+'1. Datos'!R16+'1. Datos'!S16</f>
        <v>56</v>
      </c>
    </row>
    <row r="21" spans="10:10" ht="15" customHeight="1" x14ac:dyDescent="0.45">
      <c r="J21">
        <f>'1. Datos'!H17+'1. Datos'!I17+'1. Datos'!J17+'1. Datos'!K17+'1. Datos'!L17+'1. Datos'!M17+'1. Datos'!N17+'1. Datos'!O17+'1. Datos'!P17+'1. Datos'!Q17+'1. Datos'!R17+'1. Datos'!S17</f>
        <v>56</v>
      </c>
    </row>
    <row r="22" spans="10:10" ht="15" customHeight="1" x14ac:dyDescent="0.45">
      <c r="J22">
        <f>'1. Datos'!H18+'1. Datos'!I18+'1. Datos'!J18+'1. Datos'!K18+'1. Datos'!L18+'1. Datos'!M18+'1. Datos'!N18+'1. Datos'!O18+'1. Datos'!P18+'1. Datos'!Q18+'1. Datos'!R18+'1. Datos'!S18</f>
        <v>53</v>
      </c>
    </row>
    <row r="23" spans="10:10" ht="15" customHeight="1" x14ac:dyDescent="0.45">
      <c r="J23">
        <f>'1. Datos'!H19+'1. Datos'!I19+'1. Datos'!J19+'1. Datos'!K19+'1. Datos'!L19+'1. Datos'!M19+'1. Datos'!N19+'1. Datos'!O19+'1. Datos'!P19+'1. Datos'!Q19+'1. Datos'!R19+'1. Datos'!S19</f>
        <v>54</v>
      </c>
    </row>
    <row r="24" spans="10:10" ht="15" customHeight="1" x14ac:dyDescent="0.45">
      <c r="J24">
        <f>'1. Datos'!H20+'1. Datos'!I20+'1. Datos'!J20+'1. Datos'!K20+'1. Datos'!L20+'1. Datos'!M20+'1. Datos'!N20+'1. Datos'!O20+'1. Datos'!P20+'1. Datos'!Q20+'1. Datos'!R20+'1. Datos'!S20</f>
        <v>55</v>
      </c>
    </row>
    <row r="25" spans="10:10" ht="15" customHeight="1" x14ac:dyDescent="0.45">
      <c r="J25">
        <f>'1. Datos'!H21+'1. Datos'!I21+'1. Datos'!J21+'1. Datos'!K21+'1. Datos'!L21+'1. Datos'!M21+'1. Datos'!N21+'1. Datos'!O21+'1. Datos'!P21+'1. Datos'!Q21+'1. Datos'!R21+'1. Datos'!S21</f>
        <v>55</v>
      </c>
    </row>
    <row r="26" spans="10:10" ht="15" customHeight="1" x14ac:dyDescent="0.45">
      <c r="J26">
        <f>'1. Datos'!H22+'1. Datos'!I22+'1. Datos'!J22+'1. Datos'!K22+'1. Datos'!L22+'1. Datos'!M22+'1. Datos'!N22+'1. Datos'!O22+'1. Datos'!P22+'1. Datos'!Q22+'1. Datos'!R22+'1. Datos'!S22</f>
        <v>55</v>
      </c>
    </row>
    <row r="27" spans="10:10" ht="15" customHeight="1" x14ac:dyDescent="0.45">
      <c r="J27">
        <f>'1. Datos'!H23+'1. Datos'!I23+'1. Datos'!J23+'1. Datos'!K23+'1. Datos'!L23+'1. Datos'!M23+'1. Datos'!N23+'1. Datos'!O23+'1. Datos'!P23+'1. Datos'!Q23+'1. Datos'!R23+'1. Datos'!S23</f>
        <v>51</v>
      </c>
    </row>
    <row r="28" spans="10:10" ht="15" customHeight="1" x14ac:dyDescent="0.45">
      <c r="J28">
        <f>'1. Datos'!H24+'1. Datos'!I24+'1. Datos'!J24+'1. Datos'!K24+'1. Datos'!L24+'1. Datos'!M24+'1. Datos'!N24+'1. Datos'!O24+'1. Datos'!P24+'1. Datos'!Q24+'1. Datos'!R24+'1. Datos'!S24</f>
        <v>57</v>
      </c>
    </row>
    <row r="29" spans="10:10" ht="15" customHeight="1" x14ac:dyDescent="0.45">
      <c r="J29">
        <f>'1. Datos'!H25+'1. Datos'!I25+'1. Datos'!J25+'1. Datos'!K25+'1. Datos'!L25+'1. Datos'!M25+'1. Datos'!N25+'1. Datos'!O25+'1. Datos'!P25+'1. Datos'!Q25+'1. Datos'!R25+'1. Datos'!S25</f>
        <v>55</v>
      </c>
    </row>
    <row r="30" spans="10:10" ht="15" customHeight="1" x14ac:dyDescent="0.45">
      <c r="J30">
        <f>'1. Datos'!H26+'1. Datos'!I26+'1. Datos'!J26+'1. Datos'!K26+'1. Datos'!L26+'1. Datos'!M26+'1. Datos'!N26+'1. Datos'!O26+'1. Datos'!P26+'1. Datos'!Q26+'1. Datos'!R26+'1. Datos'!S26</f>
        <v>50</v>
      </c>
    </row>
    <row r="31" spans="10:10" ht="15" customHeight="1" x14ac:dyDescent="0.45">
      <c r="J31">
        <f>'1. Datos'!H27+'1. Datos'!I27+'1. Datos'!J27+'1. Datos'!K27+'1. Datos'!L27+'1. Datos'!M27+'1. Datos'!N27+'1. Datos'!O27+'1. Datos'!P27+'1. Datos'!Q27+'1. Datos'!R27+'1. Datos'!S27</f>
        <v>53</v>
      </c>
    </row>
    <row r="32" spans="10:10" ht="15" customHeight="1" x14ac:dyDescent="0.45">
      <c r="J32">
        <f>'1. Datos'!H28+'1. Datos'!I28+'1. Datos'!J28+'1. Datos'!K28+'1. Datos'!L28+'1. Datos'!M28+'1. Datos'!N28+'1. Datos'!O28+'1. Datos'!P28+'1. Datos'!Q28+'1. Datos'!R28+'1. Datos'!S28</f>
        <v>51</v>
      </c>
    </row>
    <row r="33" spans="10:10" ht="15" customHeight="1" x14ac:dyDescent="0.45">
      <c r="J33">
        <f>'1. Datos'!H29+'1. Datos'!I29+'1. Datos'!J29+'1. Datos'!K29+'1. Datos'!L29+'1. Datos'!M29+'1. Datos'!N29+'1. Datos'!O29+'1. Datos'!P29+'1. Datos'!Q29+'1. Datos'!R29+'1. Datos'!S29</f>
        <v>51</v>
      </c>
    </row>
    <row r="34" spans="10:10" ht="15" customHeight="1" x14ac:dyDescent="0.45">
      <c r="J34">
        <f>'1. Datos'!H30+'1. Datos'!I30+'1. Datos'!J30+'1. Datos'!K30+'1. Datos'!L30+'1. Datos'!M30+'1. Datos'!N30+'1. Datos'!O30+'1. Datos'!P30+'1. Datos'!Q30+'1. Datos'!R30+'1. Datos'!S30</f>
        <v>57</v>
      </c>
    </row>
    <row r="35" spans="10:10" ht="15" customHeight="1" x14ac:dyDescent="0.45">
      <c r="J35">
        <f>'1. Datos'!H31+'1. Datos'!I31+'1. Datos'!J31+'1. Datos'!K31+'1. Datos'!L31+'1. Datos'!M31+'1. Datos'!N31+'1. Datos'!O31+'1. Datos'!P31+'1. Datos'!Q31+'1. Datos'!R31+'1. Datos'!S31</f>
        <v>57</v>
      </c>
    </row>
    <row r="36" spans="10:10" ht="15" customHeight="1" x14ac:dyDescent="0.45">
      <c r="J36">
        <f>'1. Datos'!H32+'1. Datos'!I32+'1. Datos'!J32+'1. Datos'!K32+'1. Datos'!L32+'1. Datos'!M32+'1. Datos'!N32+'1. Datos'!O32+'1. Datos'!P32+'1. Datos'!Q32+'1. Datos'!R32+'1. Datos'!S32</f>
        <v>60</v>
      </c>
    </row>
    <row r="37" spans="10:10" ht="15" customHeight="1" x14ac:dyDescent="0.45">
      <c r="J37">
        <f>'1. Datos'!H33+'1. Datos'!I33+'1. Datos'!J33+'1. Datos'!K33+'1. Datos'!L33+'1. Datos'!M33+'1. Datos'!N33+'1. Datos'!O33+'1. Datos'!P33+'1. Datos'!Q33+'1. Datos'!R33+'1. Datos'!S33</f>
        <v>55</v>
      </c>
    </row>
    <row r="38" spans="10:10" ht="15" customHeight="1" x14ac:dyDescent="0.45">
      <c r="J38">
        <f>'1. Datos'!H34+'1. Datos'!I34+'1. Datos'!J34+'1. Datos'!K34+'1. Datos'!L34+'1. Datos'!M34+'1. Datos'!N34+'1. Datos'!O34+'1. Datos'!P34+'1. Datos'!Q34+'1. Datos'!R34+'1. Datos'!S34</f>
        <v>55</v>
      </c>
    </row>
    <row r="39" spans="10:10" ht="15" customHeight="1" x14ac:dyDescent="0.45">
      <c r="J39">
        <f>'1. Datos'!H35+'1. Datos'!I35+'1. Datos'!J35+'1. Datos'!K35+'1. Datos'!L35+'1. Datos'!M35+'1. Datos'!N35+'1. Datos'!O35+'1. Datos'!P35+'1. Datos'!Q35+'1. Datos'!R35+'1. Datos'!S35</f>
        <v>54</v>
      </c>
    </row>
    <row r="40" spans="10:10" ht="15" customHeight="1" x14ac:dyDescent="0.45">
      <c r="J40">
        <f>'1. Datos'!H36+'1. Datos'!I36+'1. Datos'!J36+'1. Datos'!K36+'1. Datos'!L36+'1. Datos'!M36+'1. Datos'!N36+'1. Datos'!O36+'1. Datos'!P36+'1. Datos'!Q36+'1. Datos'!R36+'1. Datos'!S36</f>
        <v>56</v>
      </c>
    </row>
    <row r="41" spans="10:10" ht="15" customHeight="1" x14ac:dyDescent="0.45">
      <c r="J41">
        <f>'1. Datos'!H37+'1. Datos'!I37+'1. Datos'!J37+'1. Datos'!K37+'1. Datos'!L37+'1. Datos'!M37+'1. Datos'!N37+'1. Datos'!O37+'1. Datos'!P37+'1. Datos'!Q37+'1. Datos'!R37+'1. Datos'!S37</f>
        <v>56</v>
      </c>
    </row>
    <row r="42" spans="10:10" ht="15" customHeight="1" x14ac:dyDescent="0.45">
      <c r="J42">
        <f>'1. Datos'!H38+'1. Datos'!I38+'1. Datos'!J38+'1. Datos'!K38+'1. Datos'!L38+'1. Datos'!M38+'1. Datos'!N38+'1. Datos'!O38+'1. Datos'!P38+'1. Datos'!Q38+'1. Datos'!R38+'1. Datos'!S38</f>
        <v>55</v>
      </c>
    </row>
    <row r="43" spans="10:10" ht="15" customHeight="1" x14ac:dyDescent="0.45">
      <c r="J43">
        <f>'1. Datos'!H39+'1. Datos'!I39+'1. Datos'!J39+'1. Datos'!K39+'1. Datos'!L39+'1. Datos'!M39+'1. Datos'!N39+'1. Datos'!O39+'1. Datos'!P39+'1. Datos'!Q39+'1. Datos'!R39+'1. Datos'!S39</f>
        <v>52</v>
      </c>
    </row>
    <row r="44" spans="10:10" ht="15" customHeight="1" x14ac:dyDescent="0.45">
      <c r="J44">
        <f>'1. Datos'!H40+'1. Datos'!I40+'1. Datos'!J40+'1. Datos'!K40+'1. Datos'!L40+'1. Datos'!M40+'1. Datos'!N40+'1. Datos'!O40+'1. Datos'!P40+'1. Datos'!Q40+'1. Datos'!R40+'1. Datos'!S40</f>
        <v>50</v>
      </c>
    </row>
    <row r="45" spans="10:10" ht="15" customHeight="1" x14ac:dyDescent="0.45">
      <c r="J45">
        <f>'1. Datos'!H41+'1. Datos'!I41+'1. Datos'!J41+'1. Datos'!K41+'1. Datos'!L41+'1. Datos'!M41+'1. Datos'!N41+'1. Datos'!O41+'1. Datos'!P41+'1. Datos'!Q41+'1. Datos'!R41+'1. Datos'!S41</f>
        <v>53</v>
      </c>
    </row>
    <row r="46" spans="10:10" ht="15" customHeight="1" x14ac:dyDescent="0.45">
      <c r="J46">
        <f>'1. Datos'!H42+'1. Datos'!I42+'1. Datos'!J42+'1. Datos'!K42+'1. Datos'!L42+'1. Datos'!M42+'1. Datos'!N42+'1. Datos'!O42+'1. Datos'!P42+'1. Datos'!Q42+'1. Datos'!R42+'1. Datos'!S42</f>
        <v>49</v>
      </c>
    </row>
    <row r="47" spans="10:10" ht="15" customHeight="1" x14ac:dyDescent="0.45">
      <c r="J47">
        <f>'1. Datos'!H43+'1. Datos'!I43+'1. Datos'!J43+'1. Datos'!K43+'1. Datos'!L43+'1. Datos'!M43+'1. Datos'!N43+'1. Datos'!O43+'1. Datos'!P43+'1. Datos'!Q43+'1. Datos'!R43+'1. Datos'!S43</f>
        <v>50</v>
      </c>
    </row>
    <row r="48" spans="10:10" ht="15" customHeight="1" x14ac:dyDescent="0.45">
      <c r="J48">
        <f>'1. Datos'!H44+'1. Datos'!I44+'1. Datos'!J44+'1. Datos'!K44+'1. Datos'!L44+'1. Datos'!M44+'1. Datos'!N44+'1. Datos'!O44+'1. Datos'!P44+'1. Datos'!Q44+'1. Datos'!R44+'1. Datos'!S44</f>
        <v>42</v>
      </c>
    </row>
    <row r="49" spans="10:10" ht="15" customHeight="1" x14ac:dyDescent="0.45">
      <c r="J49">
        <f>'1. Datos'!H45+'1. Datos'!I45+'1. Datos'!J45+'1. Datos'!K45+'1. Datos'!L45+'1. Datos'!M45+'1. Datos'!N45+'1. Datos'!O45+'1. Datos'!P45+'1. Datos'!Q45+'1. Datos'!R45+'1. Datos'!S45</f>
        <v>59</v>
      </c>
    </row>
    <row r="50" spans="10:10" ht="15" customHeight="1" x14ac:dyDescent="0.45">
      <c r="J50">
        <f>'1. Datos'!H46+'1. Datos'!I46+'1. Datos'!J46+'1. Datos'!K46+'1. Datos'!L46+'1. Datos'!M46+'1. Datos'!N46+'1. Datos'!O46+'1. Datos'!P46+'1. Datos'!Q46+'1. Datos'!R46+'1. Datos'!S46</f>
        <v>57</v>
      </c>
    </row>
    <row r="51" spans="10:10" ht="15" customHeight="1" x14ac:dyDescent="0.45">
      <c r="J51">
        <f>'1. Datos'!H47+'1. Datos'!I47+'1. Datos'!J47+'1. Datos'!K47+'1. Datos'!L47+'1. Datos'!M47+'1. Datos'!N47+'1. Datos'!O47+'1. Datos'!P47+'1. Datos'!Q47+'1. Datos'!R47+'1. Datos'!S47</f>
        <v>57</v>
      </c>
    </row>
    <row r="52" spans="10:10" ht="15" customHeight="1" x14ac:dyDescent="0.45">
      <c r="J52">
        <f>'1. Datos'!H48+'1. Datos'!I48+'1. Datos'!J48+'1. Datos'!K48+'1. Datos'!L48+'1. Datos'!M48+'1. Datos'!N48+'1. Datos'!O48+'1. Datos'!P48+'1. Datos'!Q48+'1. Datos'!R48+'1. Datos'!S48</f>
        <v>55</v>
      </c>
    </row>
    <row r="53" spans="10:10" ht="15" customHeight="1" x14ac:dyDescent="0.45">
      <c r="J53">
        <f>'1. Datos'!H49+'1. Datos'!I49+'1. Datos'!J49+'1. Datos'!K49+'1. Datos'!L49+'1. Datos'!M49+'1. Datos'!N49+'1. Datos'!O49+'1. Datos'!P49+'1. Datos'!Q49+'1. Datos'!R49+'1. Datos'!S49</f>
        <v>59</v>
      </c>
    </row>
    <row r="54" spans="10:10" ht="15" customHeight="1" x14ac:dyDescent="0.45">
      <c r="J54">
        <f>'1. Datos'!H50+'1. Datos'!I50+'1. Datos'!J50+'1. Datos'!K50+'1. Datos'!L50+'1. Datos'!M50+'1. Datos'!N50+'1. Datos'!O50+'1. Datos'!P50+'1. Datos'!Q50+'1. Datos'!R50+'1. Datos'!S50</f>
        <v>59</v>
      </c>
    </row>
    <row r="55" spans="10:10" ht="15" customHeight="1" x14ac:dyDescent="0.45">
      <c r="J55">
        <f>'1. Datos'!H51+'1. Datos'!I51+'1. Datos'!J51+'1. Datos'!K51+'1. Datos'!L51+'1. Datos'!M51+'1. Datos'!N51+'1. Datos'!O51+'1. Datos'!P51+'1. Datos'!Q51+'1. Datos'!R51+'1. Datos'!S51</f>
        <v>51</v>
      </c>
    </row>
    <row r="56" spans="10:10" ht="15" customHeight="1" x14ac:dyDescent="0.45">
      <c r="J56">
        <f>'1. Datos'!H52+'1. Datos'!I52+'1. Datos'!J52+'1. Datos'!K52+'1. Datos'!L52+'1. Datos'!M52+'1. Datos'!N52+'1. Datos'!O52+'1. Datos'!P52+'1. Datos'!Q52+'1. Datos'!R52+'1. Datos'!S52</f>
        <v>58</v>
      </c>
    </row>
    <row r="57" spans="10:10" ht="15" customHeight="1" x14ac:dyDescent="0.45">
      <c r="J57">
        <f>'1. Datos'!H53+'1. Datos'!I53+'1. Datos'!J53+'1. Datos'!K53+'1. Datos'!L53+'1. Datos'!M53+'1. Datos'!N53+'1. Datos'!O53+'1. Datos'!P53+'1. Datos'!Q53+'1. Datos'!R53+'1. Datos'!S53</f>
        <v>57</v>
      </c>
    </row>
    <row r="58" spans="10:10" ht="15" customHeight="1" x14ac:dyDescent="0.45">
      <c r="J58">
        <f>'1. Datos'!H54+'1. Datos'!I54+'1. Datos'!J54+'1. Datos'!K54+'1. Datos'!L54+'1. Datos'!M54+'1. Datos'!N54+'1. Datos'!O54+'1. Datos'!P54+'1. Datos'!Q54+'1. Datos'!R54+'1. Datos'!S54</f>
        <v>57</v>
      </c>
    </row>
    <row r="59" spans="10:10" ht="15" customHeight="1" x14ac:dyDescent="0.45">
      <c r="J59">
        <f>'1. Datos'!H55+'1. Datos'!I55+'1. Datos'!J55+'1. Datos'!K55+'1. Datos'!L55+'1. Datos'!M55+'1. Datos'!N55+'1. Datos'!O55+'1. Datos'!P55+'1. Datos'!Q55+'1. Datos'!R55+'1. Datos'!S55</f>
        <v>33</v>
      </c>
    </row>
    <row r="60" spans="10:10" ht="15" customHeight="1" x14ac:dyDescent="0.45">
      <c r="J60">
        <f>'1. Datos'!H56+'1. Datos'!I56+'1. Datos'!J56+'1. Datos'!K56+'1. Datos'!L56+'1. Datos'!M56+'1. Datos'!N56+'1. Datos'!O56+'1. Datos'!P56+'1. Datos'!Q56+'1. Datos'!R56+'1. Datos'!S56</f>
        <v>55</v>
      </c>
    </row>
    <row r="61" spans="10:10" ht="15" customHeight="1" x14ac:dyDescent="0.45">
      <c r="J61">
        <f>'1. Datos'!H57+'1. Datos'!I57+'1. Datos'!J57+'1. Datos'!K57+'1. Datos'!L57+'1. Datos'!M57+'1. Datos'!N57+'1. Datos'!O57+'1. Datos'!P57+'1. Datos'!Q57+'1. Datos'!R57+'1. Datos'!S57</f>
        <v>53</v>
      </c>
    </row>
    <row r="62" spans="10:10" ht="15" customHeight="1" x14ac:dyDescent="0.45">
      <c r="J62">
        <f>'1. Datos'!H58+'1. Datos'!I58+'1. Datos'!J58+'1. Datos'!K58+'1. Datos'!L58+'1. Datos'!M58+'1. Datos'!N58+'1. Datos'!O58+'1. Datos'!P58+'1. Datos'!Q58+'1. Datos'!R58+'1. Datos'!S58</f>
        <v>54</v>
      </c>
    </row>
    <row r="63" spans="10:10" ht="15" customHeight="1" x14ac:dyDescent="0.45">
      <c r="J63">
        <f>'1. Datos'!H59+'1. Datos'!I59+'1. Datos'!J59+'1. Datos'!K59+'1. Datos'!L59+'1. Datos'!M59+'1. Datos'!N59+'1. Datos'!O59+'1. Datos'!P59+'1. Datos'!Q59+'1. Datos'!R59+'1. Datos'!S59</f>
        <v>39</v>
      </c>
    </row>
    <row r="64" spans="10:10" ht="15" customHeight="1" x14ac:dyDescent="0.45">
      <c r="J64">
        <f>'1. Datos'!H60+'1. Datos'!I60+'1. Datos'!J60+'1. Datos'!K60+'1. Datos'!L60+'1. Datos'!M60+'1. Datos'!N60+'1. Datos'!O60+'1. Datos'!P60+'1. Datos'!Q60+'1. Datos'!R60+'1. Datos'!S60</f>
        <v>46</v>
      </c>
    </row>
    <row r="65" spans="10:10" ht="15" customHeight="1" x14ac:dyDescent="0.45">
      <c r="J65">
        <f>'1. Datos'!H61+'1. Datos'!I61+'1. Datos'!J61+'1. Datos'!K61+'1. Datos'!L61+'1. Datos'!M61+'1. Datos'!N61+'1. Datos'!O61+'1. Datos'!P61+'1. Datos'!Q61+'1. Datos'!R61+'1. Datos'!S61</f>
        <v>55</v>
      </c>
    </row>
    <row r="66" spans="10:10" ht="15" customHeight="1" x14ac:dyDescent="0.45">
      <c r="J66">
        <f>'1. Datos'!H62+'1. Datos'!I62+'1. Datos'!J62+'1. Datos'!K62+'1. Datos'!L62+'1. Datos'!M62+'1. Datos'!N62+'1. Datos'!O62+'1. Datos'!P62+'1. Datos'!Q62+'1. Datos'!R62+'1. Datos'!S62</f>
        <v>49</v>
      </c>
    </row>
    <row r="67" spans="10:10" ht="15" customHeight="1" x14ac:dyDescent="0.45">
      <c r="J67">
        <f>'1. Datos'!H63+'1. Datos'!I63+'1. Datos'!J63+'1. Datos'!K63+'1. Datos'!L63+'1. Datos'!M63+'1. Datos'!N63+'1. Datos'!O63+'1. Datos'!P63+'1. Datos'!Q63+'1. Datos'!R63+'1. Datos'!S63</f>
        <v>54</v>
      </c>
    </row>
    <row r="68" spans="10:10" ht="15" customHeight="1" x14ac:dyDescent="0.45">
      <c r="J68">
        <f>'1. Datos'!H64+'1. Datos'!I64+'1. Datos'!J64+'1. Datos'!K64+'1. Datos'!L64+'1. Datos'!M64+'1. Datos'!N64+'1. Datos'!O64+'1. Datos'!P64+'1. Datos'!Q64+'1. Datos'!R64+'1. Datos'!S64</f>
        <v>58</v>
      </c>
    </row>
    <row r="69" spans="10:10" ht="15" customHeight="1" x14ac:dyDescent="0.45">
      <c r="J69">
        <f>'1. Datos'!H65+'1. Datos'!I65+'1. Datos'!J65+'1. Datos'!K65+'1. Datos'!L65+'1. Datos'!M65+'1. Datos'!N65+'1. Datos'!O65+'1. Datos'!P65+'1. Datos'!Q65+'1. Datos'!R65+'1. Datos'!S65</f>
        <v>47</v>
      </c>
    </row>
    <row r="70" spans="10:10" ht="15" customHeight="1" x14ac:dyDescent="0.45">
      <c r="J70">
        <f>'1. Datos'!H66+'1. Datos'!I66+'1. Datos'!J66+'1. Datos'!K66+'1. Datos'!L66+'1. Datos'!M66+'1. Datos'!N66+'1. Datos'!O66+'1. Datos'!P66+'1. Datos'!Q66+'1. Datos'!R66+'1. Datos'!S66</f>
        <v>53</v>
      </c>
    </row>
    <row r="71" spans="10:10" ht="15" customHeight="1" x14ac:dyDescent="0.45">
      <c r="J71">
        <f>'1. Datos'!H67+'1. Datos'!I67+'1. Datos'!J67+'1. Datos'!K67+'1. Datos'!L67+'1. Datos'!M67+'1. Datos'!N67+'1. Datos'!O67+'1. Datos'!P67+'1. Datos'!Q67+'1. Datos'!R67+'1. Datos'!S67</f>
        <v>54</v>
      </c>
    </row>
    <row r="72" spans="10:10" ht="15" customHeight="1" x14ac:dyDescent="0.45">
      <c r="J72">
        <f>'1. Datos'!H68+'1. Datos'!I68+'1. Datos'!J68+'1. Datos'!K68+'1. Datos'!L68+'1. Datos'!M68+'1. Datos'!N68+'1. Datos'!O68+'1. Datos'!P68+'1. Datos'!Q68+'1. Datos'!R68+'1. Datos'!S68</f>
        <v>58</v>
      </c>
    </row>
    <row r="73" spans="10:10" ht="15" customHeight="1" x14ac:dyDescent="0.45">
      <c r="J73">
        <f>'1. Datos'!H69+'1. Datos'!I69+'1. Datos'!J69+'1. Datos'!K69+'1. Datos'!L69+'1. Datos'!M69+'1. Datos'!N69+'1. Datos'!O69+'1. Datos'!P69+'1. Datos'!Q69+'1. Datos'!R69+'1. Datos'!S69</f>
        <v>55</v>
      </c>
    </row>
    <row r="74" spans="10:10" ht="15" customHeight="1" x14ac:dyDescent="0.45">
      <c r="J74">
        <f>'1. Datos'!H70+'1. Datos'!I70+'1. Datos'!J70+'1. Datos'!K70+'1. Datos'!L70+'1. Datos'!M70+'1. Datos'!N70+'1. Datos'!O70+'1. Datos'!P70+'1. Datos'!Q70+'1. Datos'!R70+'1. Datos'!S70</f>
        <v>55</v>
      </c>
    </row>
    <row r="75" spans="10:10" ht="15" customHeight="1" x14ac:dyDescent="0.45">
      <c r="J75">
        <f>'1. Datos'!H71+'1. Datos'!I71+'1. Datos'!J71+'1. Datos'!K71+'1. Datos'!L71+'1. Datos'!M71+'1. Datos'!N71+'1. Datos'!O71+'1. Datos'!P71+'1. Datos'!Q71+'1. Datos'!R71+'1. Datos'!S71</f>
        <v>51</v>
      </c>
    </row>
    <row r="76" spans="10:10" ht="15" customHeight="1" x14ac:dyDescent="0.45">
      <c r="J76">
        <f>'1. Datos'!H72+'1. Datos'!I72+'1. Datos'!J72+'1. Datos'!K72+'1. Datos'!L72+'1. Datos'!M72+'1. Datos'!N72+'1. Datos'!O72+'1. Datos'!P72+'1. Datos'!Q72+'1. Datos'!R72+'1. Datos'!S72</f>
        <v>52</v>
      </c>
    </row>
    <row r="77" spans="10:10" ht="15" customHeight="1" x14ac:dyDescent="0.45">
      <c r="J77">
        <f>'1. Datos'!H73+'1. Datos'!I73+'1. Datos'!J73+'1. Datos'!K73+'1. Datos'!L73+'1. Datos'!M73+'1. Datos'!N73+'1. Datos'!O73+'1. Datos'!P73+'1. Datos'!Q73+'1. Datos'!R73+'1. Datos'!S73</f>
        <v>49</v>
      </c>
    </row>
    <row r="78" spans="10:10" ht="15" customHeight="1" x14ac:dyDescent="0.45">
      <c r="J78">
        <f>'1. Datos'!H74+'1. Datos'!I74+'1. Datos'!J74+'1. Datos'!K74+'1. Datos'!L74+'1. Datos'!M74+'1. Datos'!N74+'1. Datos'!O74+'1. Datos'!P74+'1. Datos'!Q74+'1. Datos'!R74+'1. Datos'!S74</f>
        <v>51</v>
      </c>
    </row>
    <row r="79" spans="10:10" ht="15" customHeight="1" x14ac:dyDescent="0.45">
      <c r="J79">
        <f>'1. Datos'!H75+'1. Datos'!I75+'1. Datos'!J75+'1. Datos'!K75+'1. Datos'!L75+'1. Datos'!M75+'1. Datos'!N75+'1. Datos'!O75+'1. Datos'!P75+'1. Datos'!Q75+'1. Datos'!R75+'1. Datos'!S75</f>
        <v>56</v>
      </c>
    </row>
    <row r="80" spans="10:10" ht="15" customHeight="1" x14ac:dyDescent="0.45">
      <c r="J80">
        <f>'1. Datos'!H76+'1. Datos'!I76+'1. Datos'!J76+'1. Datos'!K76+'1. Datos'!L76+'1. Datos'!M76+'1. Datos'!N76+'1. Datos'!O76+'1. Datos'!P76+'1. Datos'!Q76+'1. Datos'!R76+'1. Datos'!S76</f>
        <v>52</v>
      </c>
    </row>
    <row r="81" spans="10:10" ht="15" customHeight="1" x14ac:dyDescent="0.45">
      <c r="J81">
        <f>'1. Datos'!H77+'1. Datos'!I77+'1. Datos'!J77+'1. Datos'!K77+'1. Datos'!L77+'1. Datos'!M77+'1. Datos'!N77+'1. Datos'!O77+'1. Datos'!P77+'1. Datos'!Q77+'1. Datos'!R77+'1. Datos'!S77</f>
        <v>55</v>
      </c>
    </row>
    <row r="82" spans="10:10" ht="15" customHeight="1" x14ac:dyDescent="0.45">
      <c r="J82">
        <f>'1. Datos'!H78+'1. Datos'!I78+'1. Datos'!J78+'1. Datos'!K78+'1. Datos'!L78+'1. Datos'!M78+'1. Datos'!N78+'1. Datos'!O78+'1. Datos'!P78+'1. Datos'!Q78+'1. Datos'!R78+'1. Datos'!S78</f>
        <v>56</v>
      </c>
    </row>
    <row r="83" spans="10:10" ht="15" customHeight="1" x14ac:dyDescent="0.45">
      <c r="J83">
        <f>'1. Datos'!H79+'1. Datos'!I79+'1. Datos'!J79+'1. Datos'!K79+'1. Datos'!L79+'1. Datos'!M79+'1. Datos'!N79+'1. Datos'!O79+'1. Datos'!P79+'1. Datos'!Q79+'1. Datos'!R79+'1. Datos'!S79</f>
        <v>48</v>
      </c>
    </row>
    <row r="84" spans="10:10" ht="15" customHeight="1" x14ac:dyDescent="0.45">
      <c r="J84">
        <f>'1. Datos'!H80+'1. Datos'!I80+'1. Datos'!J80+'1. Datos'!K80+'1. Datos'!L80+'1. Datos'!M80+'1. Datos'!N80+'1. Datos'!O80+'1. Datos'!P80+'1. Datos'!Q80+'1. Datos'!R80+'1. Datos'!S80</f>
        <v>56</v>
      </c>
    </row>
    <row r="85" spans="10:10" ht="15" customHeight="1" x14ac:dyDescent="0.45">
      <c r="J85">
        <f>'1. Datos'!H81+'1. Datos'!I81+'1. Datos'!J81+'1. Datos'!K81+'1. Datos'!L81+'1. Datos'!M81+'1. Datos'!N81+'1. Datos'!O81+'1. Datos'!P81+'1. Datos'!Q81+'1. Datos'!R81+'1. Datos'!S81</f>
        <v>56</v>
      </c>
    </row>
    <row r="86" spans="10:10" ht="15" customHeight="1" x14ac:dyDescent="0.45">
      <c r="J86">
        <f>'1. Datos'!H82+'1. Datos'!I82+'1. Datos'!J82+'1. Datos'!K82+'1. Datos'!L82+'1. Datos'!M82+'1. Datos'!N82+'1. Datos'!O82+'1. Datos'!P82+'1. Datos'!Q82+'1. Datos'!R82+'1. Datos'!S82</f>
        <v>55</v>
      </c>
    </row>
    <row r="87" spans="10:10" ht="15" customHeight="1" x14ac:dyDescent="0.45">
      <c r="J87">
        <f>'1. Datos'!H83+'1. Datos'!I83+'1. Datos'!J83+'1. Datos'!K83+'1. Datos'!L83+'1. Datos'!M83+'1. Datos'!N83+'1. Datos'!O83+'1. Datos'!P83+'1. Datos'!Q83+'1. Datos'!R83+'1. Datos'!S83</f>
        <v>52</v>
      </c>
    </row>
    <row r="88" spans="10:10" ht="15" customHeight="1" x14ac:dyDescent="0.45">
      <c r="J88">
        <f>'1. Datos'!H84+'1. Datos'!I84+'1. Datos'!J84+'1. Datos'!K84+'1. Datos'!L84+'1. Datos'!M84+'1. Datos'!N84+'1. Datos'!O84+'1. Datos'!P84+'1. Datos'!Q84+'1. Datos'!R84+'1. Datos'!S84</f>
        <v>49</v>
      </c>
    </row>
    <row r="89" spans="10:10" ht="15" customHeight="1" x14ac:dyDescent="0.45">
      <c r="J89">
        <f>'1. Datos'!H85+'1. Datos'!I85+'1. Datos'!J85+'1. Datos'!K85+'1. Datos'!L85+'1. Datos'!M85+'1. Datos'!N85+'1. Datos'!O85+'1. Datos'!P85+'1. Datos'!Q85+'1. Datos'!R85+'1. Datos'!S85</f>
        <v>51</v>
      </c>
    </row>
    <row r="90" spans="10:10" ht="15" customHeight="1" x14ac:dyDescent="0.45">
      <c r="J90">
        <f>'1. Datos'!H86+'1. Datos'!I86+'1. Datos'!J86+'1. Datos'!K86+'1. Datos'!L86+'1. Datos'!M86+'1. Datos'!N86+'1. Datos'!O86+'1. Datos'!P86+'1. Datos'!Q86+'1. Datos'!R86+'1. Datos'!S86</f>
        <v>54</v>
      </c>
    </row>
    <row r="91" spans="10:10" ht="15" customHeight="1" x14ac:dyDescent="0.45">
      <c r="J91">
        <f>'1. Datos'!H87+'1. Datos'!I87+'1. Datos'!J87+'1. Datos'!K87+'1. Datos'!L87+'1. Datos'!M87+'1. Datos'!N87+'1. Datos'!O87+'1. Datos'!P87+'1. Datos'!Q87+'1. Datos'!R87+'1. Datos'!S87</f>
        <v>50</v>
      </c>
    </row>
    <row r="92" spans="10:10" ht="15" customHeight="1" x14ac:dyDescent="0.45">
      <c r="J92">
        <f>'1. Datos'!H88+'1. Datos'!I88+'1. Datos'!J88+'1. Datos'!K88+'1. Datos'!L88+'1. Datos'!M88+'1. Datos'!N88+'1. Datos'!O88+'1. Datos'!P88+'1. Datos'!Q88+'1. Datos'!R88+'1. Datos'!S88</f>
        <v>52</v>
      </c>
    </row>
    <row r="93" spans="10:10" ht="15" customHeight="1" x14ac:dyDescent="0.45">
      <c r="J93">
        <f>'1. Datos'!H89+'1. Datos'!I89+'1. Datos'!J89+'1. Datos'!K89+'1. Datos'!L89+'1. Datos'!M89+'1. Datos'!N89+'1. Datos'!O89+'1. Datos'!P89+'1. Datos'!Q89+'1. Datos'!R89+'1. Datos'!S89</f>
        <v>51</v>
      </c>
    </row>
    <row r="94" spans="10:10" ht="15" customHeight="1" x14ac:dyDescent="0.45">
      <c r="J94">
        <f>'1. Datos'!H90+'1. Datos'!I90+'1. Datos'!J90+'1. Datos'!K90+'1. Datos'!L90+'1. Datos'!M90+'1. Datos'!N90+'1. Datos'!O90+'1. Datos'!P90+'1. Datos'!Q90+'1. Datos'!R90+'1. Datos'!S90</f>
        <v>51</v>
      </c>
    </row>
    <row r="95" spans="10:10" ht="15" customHeight="1" x14ac:dyDescent="0.45">
      <c r="J95">
        <f>'1. Datos'!H91+'1. Datos'!I91+'1. Datos'!J91+'1. Datos'!K91+'1. Datos'!L91+'1. Datos'!M91+'1. Datos'!N91+'1. Datos'!O91+'1. Datos'!P91+'1. Datos'!Q91+'1. Datos'!R91+'1. Datos'!S91</f>
        <v>53</v>
      </c>
    </row>
    <row r="96" spans="10:10" ht="15" customHeight="1" x14ac:dyDescent="0.45">
      <c r="J96">
        <f>'1. Datos'!H92+'1. Datos'!I92+'1. Datos'!J92+'1. Datos'!K92+'1. Datos'!L92+'1. Datos'!M92+'1. Datos'!N92+'1. Datos'!O92+'1. Datos'!P92+'1. Datos'!Q92+'1. Datos'!R92+'1. Datos'!S92</f>
        <v>53</v>
      </c>
    </row>
    <row r="97" spans="10:10" ht="15" customHeight="1" x14ac:dyDescent="0.45">
      <c r="J97">
        <f>'1. Datos'!H93+'1. Datos'!I93+'1. Datos'!J93+'1. Datos'!K93+'1. Datos'!L93+'1. Datos'!M93+'1. Datos'!N93+'1. Datos'!O93+'1. Datos'!P93+'1. Datos'!Q93+'1. Datos'!R93+'1. Datos'!S93</f>
        <v>49</v>
      </c>
    </row>
    <row r="98" spans="10:10" ht="15" customHeight="1" x14ac:dyDescent="0.45">
      <c r="J98">
        <f>'1. Datos'!H94+'1. Datos'!I94+'1. Datos'!J94+'1. Datos'!K94+'1. Datos'!L94+'1. Datos'!M94+'1. Datos'!N94+'1. Datos'!O94+'1. Datos'!P94+'1. Datos'!Q94+'1. Datos'!R94+'1. Datos'!S94</f>
        <v>55</v>
      </c>
    </row>
    <row r="99" spans="10:10" ht="15" customHeight="1" x14ac:dyDescent="0.45">
      <c r="J99">
        <f>'1. Datos'!H95+'1. Datos'!I95+'1. Datos'!J95+'1. Datos'!K95+'1. Datos'!L95+'1. Datos'!M95+'1. Datos'!N95+'1. Datos'!O95+'1. Datos'!P95+'1. Datos'!Q95+'1. Datos'!R95+'1. Datos'!S95</f>
        <v>56</v>
      </c>
    </row>
    <row r="100" spans="10:10" ht="15" customHeight="1" x14ac:dyDescent="0.45">
      <c r="J100">
        <f>'1. Datos'!H96+'1. Datos'!I96+'1. Datos'!J96+'1. Datos'!K96+'1. Datos'!L96+'1. Datos'!M96+'1. Datos'!N96+'1. Datos'!O96+'1. Datos'!P96+'1. Datos'!Q96+'1. Datos'!R96+'1. Datos'!S96</f>
        <v>48</v>
      </c>
    </row>
    <row r="101" spans="10:10" ht="15" customHeight="1" x14ac:dyDescent="0.45">
      <c r="J101">
        <f>'1. Datos'!H97+'1. Datos'!I97+'1. Datos'!J97+'1. Datos'!K97+'1. Datos'!L97+'1. Datos'!M97+'1. Datos'!N97+'1. Datos'!O97+'1. Datos'!P97+'1. Datos'!Q97+'1. Datos'!R97+'1. Datos'!S97</f>
        <v>54</v>
      </c>
    </row>
    <row r="102" spans="10:10" ht="15" customHeight="1" x14ac:dyDescent="0.45">
      <c r="J102">
        <f>'1. Datos'!H98+'1. Datos'!I98+'1. Datos'!J98+'1. Datos'!K98+'1. Datos'!L98+'1. Datos'!M98+'1. Datos'!N98+'1. Datos'!O98+'1. Datos'!P98+'1. Datos'!Q98+'1. Datos'!R98+'1. Datos'!S98</f>
        <v>52</v>
      </c>
    </row>
    <row r="103" spans="10:10" ht="15" customHeight="1" x14ac:dyDescent="0.45">
      <c r="J103">
        <f>'1. Datos'!H99+'1. Datos'!I99+'1. Datos'!J99+'1. Datos'!K99+'1. Datos'!L99+'1. Datos'!M99+'1. Datos'!N99+'1. Datos'!O99+'1. Datos'!P99+'1. Datos'!Q99+'1. Datos'!R99+'1. Datos'!S99</f>
        <v>49</v>
      </c>
    </row>
    <row r="104" spans="10:10" ht="15" customHeight="1" x14ac:dyDescent="0.45">
      <c r="J104">
        <f>'1. Datos'!H100+'1. Datos'!I100+'1. Datos'!J100+'1. Datos'!K100+'1. Datos'!L100+'1. Datos'!M100+'1. Datos'!N100+'1. Datos'!O100+'1. Datos'!P100+'1. Datos'!Q100+'1. Datos'!R100+'1. Datos'!S100</f>
        <v>50</v>
      </c>
    </row>
    <row r="105" spans="10:10" ht="15" customHeight="1" x14ac:dyDescent="0.45">
      <c r="J105">
        <f>'1. Datos'!H101+'1. Datos'!I101+'1. Datos'!J101+'1. Datos'!K101+'1. Datos'!L101+'1. Datos'!M101+'1. Datos'!N101+'1. Datos'!O101+'1. Datos'!P101+'1. Datos'!Q101+'1. Datos'!R101+'1. Datos'!S101</f>
        <v>57</v>
      </c>
    </row>
    <row r="106" spans="10:10" ht="15" customHeight="1" x14ac:dyDescent="0.45">
      <c r="J106">
        <f>'1. Datos'!H102+'1. Datos'!I102+'1. Datos'!J102+'1. Datos'!K102+'1. Datos'!L102+'1. Datos'!M102+'1. Datos'!N102+'1. Datos'!O102+'1. Datos'!P102+'1. Datos'!Q102+'1. Datos'!R102+'1. Datos'!S102</f>
        <v>53</v>
      </c>
    </row>
    <row r="107" spans="10:10" ht="15" customHeight="1" x14ac:dyDescent="0.45">
      <c r="J107">
        <f>'1. Datos'!H103+'1. Datos'!I103+'1. Datos'!J103+'1. Datos'!K103+'1. Datos'!L103+'1. Datos'!M103+'1. Datos'!N103+'1. Datos'!O103+'1. Datos'!P103+'1. Datos'!Q103+'1. Datos'!R103+'1. Datos'!S103</f>
        <v>53</v>
      </c>
    </row>
    <row r="108" spans="10:10" ht="15" customHeight="1" x14ac:dyDescent="0.45">
      <c r="J108">
        <f>'1. Datos'!H104+'1. Datos'!I104+'1. Datos'!J104+'1. Datos'!K104+'1. Datos'!L104+'1. Datos'!M104+'1. Datos'!N104+'1. Datos'!O104+'1. Datos'!P104+'1. Datos'!Q104+'1. Datos'!R104+'1. Datos'!S104</f>
        <v>51</v>
      </c>
    </row>
    <row r="109" spans="10:10" ht="15" customHeight="1" x14ac:dyDescent="0.45">
      <c r="J109">
        <f>'1. Datos'!H105+'1. Datos'!I105+'1. Datos'!J105+'1. Datos'!K105+'1. Datos'!L105+'1. Datos'!M105+'1. Datos'!N105+'1. Datos'!O105+'1. Datos'!P105+'1. Datos'!Q105+'1. Datos'!R105+'1. Datos'!S105</f>
        <v>54</v>
      </c>
    </row>
    <row r="110" spans="10:10" ht="15" customHeight="1" x14ac:dyDescent="0.45">
      <c r="J110">
        <f>'1. Datos'!H106+'1. Datos'!I106+'1. Datos'!J106+'1. Datos'!K106+'1. Datos'!L106+'1. Datos'!M106+'1. Datos'!N106+'1. Datos'!O106+'1. Datos'!P106+'1. Datos'!Q106+'1. Datos'!R106+'1. Datos'!S106</f>
        <v>53</v>
      </c>
    </row>
    <row r="111" spans="10:10" ht="15" customHeight="1" x14ac:dyDescent="0.45">
      <c r="J111">
        <f>'1. Datos'!H107+'1. Datos'!I107+'1. Datos'!J107+'1. Datos'!K107+'1. Datos'!L107+'1. Datos'!M107+'1. Datos'!N107+'1. Datos'!O107+'1. Datos'!P107+'1. Datos'!Q107+'1. Datos'!R107+'1. Datos'!S107</f>
        <v>48</v>
      </c>
    </row>
    <row r="112" spans="10:10" ht="15" customHeight="1" x14ac:dyDescent="0.45">
      <c r="J112">
        <f>'1. Datos'!H108+'1. Datos'!I108+'1. Datos'!J108+'1. Datos'!K108+'1. Datos'!L108+'1. Datos'!M108+'1. Datos'!N108+'1. Datos'!O108+'1. Datos'!P108+'1. Datos'!Q108+'1. Datos'!R108+'1. Datos'!S108</f>
        <v>52</v>
      </c>
    </row>
    <row r="113" spans="10:10" ht="15" customHeight="1" x14ac:dyDescent="0.45">
      <c r="J113">
        <f>'1. Datos'!H109+'1. Datos'!I109+'1. Datos'!J109+'1. Datos'!K109+'1. Datos'!L109+'1. Datos'!M109+'1. Datos'!N109+'1. Datos'!O109+'1. Datos'!P109+'1. Datos'!Q109+'1. Datos'!R109+'1. Datos'!S109</f>
        <v>52</v>
      </c>
    </row>
    <row r="114" spans="10:10" ht="15" customHeight="1" x14ac:dyDescent="0.45">
      <c r="J114">
        <f>'1. Datos'!H110+'1. Datos'!I110+'1. Datos'!J110+'1. Datos'!K110+'1. Datos'!L110+'1. Datos'!M110+'1. Datos'!N110+'1. Datos'!O110+'1. Datos'!P110+'1. Datos'!Q110+'1. Datos'!R110+'1. Datos'!S110</f>
        <v>52</v>
      </c>
    </row>
    <row r="115" spans="10:10" ht="15" customHeight="1" x14ac:dyDescent="0.45">
      <c r="J115">
        <f>'1. Datos'!H111+'1. Datos'!I111+'1. Datos'!J111+'1. Datos'!K111+'1. Datos'!L111+'1. Datos'!M111+'1. Datos'!N111+'1. Datos'!O111+'1. Datos'!P111+'1. Datos'!Q111+'1. Datos'!R111+'1. Datos'!S111</f>
        <v>51</v>
      </c>
    </row>
    <row r="116" spans="10:10" ht="15" customHeight="1" x14ac:dyDescent="0.45">
      <c r="J116">
        <f>'1. Datos'!H112+'1. Datos'!I112+'1. Datos'!J112+'1. Datos'!K112+'1. Datos'!L112+'1. Datos'!M112+'1. Datos'!N112+'1. Datos'!O112+'1. Datos'!P112+'1. Datos'!Q112+'1. Datos'!R112+'1. Datos'!S112</f>
        <v>55</v>
      </c>
    </row>
    <row r="117" spans="10:10" ht="15" customHeight="1" x14ac:dyDescent="0.45">
      <c r="J117">
        <f>'1. Datos'!H113+'1. Datos'!I113+'1. Datos'!J113+'1. Datos'!K113+'1. Datos'!L113+'1. Datos'!M113+'1. Datos'!N113+'1. Datos'!O113+'1. Datos'!P113+'1. Datos'!Q113+'1. Datos'!R113+'1. Datos'!S113</f>
        <v>49</v>
      </c>
    </row>
    <row r="118" spans="10:10" ht="15" customHeight="1" x14ac:dyDescent="0.45">
      <c r="J118">
        <f>'1. Datos'!H114+'1. Datos'!I114+'1. Datos'!J114+'1. Datos'!K114+'1. Datos'!L114+'1. Datos'!M114+'1. Datos'!N114+'1. Datos'!O114+'1. Datos'!P114+'1. Datos'!Q114+'1. Datos'!R114+'1. Datos'!S114</f>
        <v>54</v>
      </c>
    </row>
    <row r="119" spans="10:10" ht="15" customHeight="1" x14ac:dyDescent="0.45">
      <c r="J119">
        <f>'1. Datos'!H115+'1. Datos'!I115+'1. Datos'!J115+'1. Datos'!K115+'1. Datos'!L115+'1. Datos'!M115+'1. Datos'!N115+'1. Datos'!O115+'1. Datos'!P115+'1. Datos'!Q115+'1. Datos'!R115+'1. Datos'!S115</f>
        <v>54</v>
      </c>
    </row>
    <row r="120" spans="10:10" ht="15" customHeight="1" x14ac:dyDescent="0.45">
      <c r="J120">
        <f>'1. Datos'!H116+'1. Datos'!I116+'1. Datos'!J116+'1. Datos'!K116+'1. Datos'!L116+'1. Datos'!M116+'1. Datos'!N116+'1. Datos'!O116+'1. Datos'!P116+'1. Datos'!Q116+'1. Datos'!R116+'1. Datos'!S116</f>
        <v>52</v>
      </c>
    </row>
    <row r="121" spans="10:10" ht="15" customHeight="1" x14ac:dyDescent="0.45">
      <c r="J121">
        <f>'1. Datos'!H117+'1. Datos'!I117+'1. Datos'!J117+'1. Datos'!K117+'1. Datos'!L117+'1. Datos'!M117+'1. Datos'!N117+'1. Datos'!O117+'1. Datos'!P117+'1. Datos'!Q117+'1. Datos'!R117+'1. Datos'!S117</f>
        <v>55</v>
      </c>
    </row>
    <row r="122" spans="10:10" ht="15" customHeight="1" x14ac:dyDescent="0.45">
      <c r="J122">
        <f>'1. Datos'!H118+'1. Datos'!I118+'1. Datos'!J118+'1. Datos'!K118+'1. Datos'!L118+'1. Datos'!M118+'1. Datos'!N118+'1. Datos'!O118+'1. Datos'!P118+'1. Datos'!Q118+'1. Datos'!R118+'1. Datos'!S118</f>
        <v>56</v>
      </c>
    </row>
    <row r="123" spans="10:10" ht="15" customHeight="1" x14ac:dyDescent="0.45">
      <c r="J123">
        <f>'1. Datos'!H119+'1. Datos'!I119+'1. Datos'!J119+'1. Datos'!K119+'1. Datos'!L119+'1. Datos'!M119+'1. Datos'!N119+'1. Datos'!O119+'1. Datos'!P119+'1. Datos'!Q119+'1. Datos'!R119+'1. Datos'!S119</f>
        <v>46</v>
      </c>
    </row>
    <row r="124" spans="10:10" ht="15" customHeight="1" x14ac:dyDescent="0.45">
      <c r="J124">
        <f>'1. Datos'!H120+'1. Datos'!I120+'1. Datos'!J120+'1. Datos'!K120+'1. Datos'!L120+'1. Datos'!M120+'1. Datos'!N120+'1. Datos'!O120+'1. Datos'!P120+'1. Datos'!Q120+'1. Datos'!R120+'1. Datos'!S120</f>
        <v>55</v>
      </c>
    </row>
    <row r="125" spans="10:10" ht="15" customHeight="1" x14ac:dyDescent="0.45">
      <c r="J125">
        <f>'1. Datos'!H121+'1. Datos'!I121+'1. Datos'!J121+'1. Datos'!K121+'1. Datos'!L121+'1. Datos'!M121+'1. Datos'!N121+'1. Datos'!O121+'1. Datos'!P121+'1. Datos'!Q121+'1. Datos'!R121+'1. Datos'!S121</f>
        <v>55</v>
      </c>
    </row>
    <row r="126" spans="10:10" ht="15" customHeight="1" x14ac:dyDescent="0.45">
      <c r="J126">
        <f>'1. Datos'!H122+'1. Datos'!I122+'1. Datos'!J122+'1. Datos'!K122+'1. Datos'!L122+'1. Datos'!M122+'1. Datos'!N122+'1. Datos'!O122+'1. Datos'!P122+'1. Datos'!Q122+'1. Datos'!R122+'1. Datos'!S122</f>
        <v>54</v>
      </c>
    </row>
    <row r="127" spans="10:10" ht="15" customHeight="1" x14ac:dyDescent="0.45">
      <c r="J127">
        <f>'1. Datos'!H123+'1. Datos'!I123+'1. Datos'!J123+'1. Datos'!K123+'1. Datos'!L123+'1. Datos'!M123+'1. Datos'!N123+'1. Datos'!O123+'1. Datos'!P123+'1. Datos'!Q123+'1. Datos'!R123+'1. Datos'!S123</f>
        <v>57</v>
      </c>
    </row>
    <row r="128" spans="10:10" ht="15" customHeight="1" x14ac:dyDescent="0.45">
      <c r="J128">
        <f>'1. Datos'!H124+'1. Datos'!I124+'1. Datos'!J124+'1. Datos'!K124+'1. Datos'!L124+'1. Datos'!M124+'1. Datos'!N124+'1. Datos'!O124+'1. Datos'!P124+'1. Datos'!Q124+'1. Datos'!R124+'1. Datos'!S124</f>
        <v>44</v>
      </c>
    </row>
    <row r="129" spans="10:10" ht="15" customHeight="1" x14ac:dyDescent="0.45">
      <c r="J129">
        <f>'1. Datos'!H125+'1. Datos'!I125+'1. Datos'!J125+'1. Datos'!K125+'1. Datos'!L125+'1. Datos'!M125+'1. Datos'!N125+'1. Datos'!O125+'1. Datos'!P125+'1. Datos'!Q125+'1. Datos'!R125+'1. Datos'!S125</f>
        <v>54</v>
      </c>
    </row>
    <row r="130" spans="10:10" ht="15" customHeight="1" x14ac:dyDescent="0.45">
      <c r="J130">
        <f>'1. Datos'!H126+'1. Datos'!I126+'1. Datos'!J126+'1. Datos'!K126+'1. Datos'!L126+'1. Datos'!M126+'1. Datos'!N126+'1. Datos'!O126+'1. Datos'!P126+'1. Datos'!Q126+'1. Datos'!R126+'1. Datos'!S126</f>
        <v>51</v>
      </c>
    </row>
    <row r="131" spans="10:10" ht="15" customHeight="1" x14ac:dyDescent="0.45">
      <c r="J131">
        <f>'1. Datos'!H127+'1. Datos'!I127+'1. Datos'!J127+'1. Datos'!K127+'1. Datos'!L127+'1. Datos'!M127+'1. Datos'!N127+'1. Datos'!O127+'1. Datos'!P127+'1. Datos'!Q127+'1. Datos'!R127+'1. Datos'!S127</f>
        <v>52</v>
      </c>
    </row>
    <row r="132" spans="10:10" ht="15" customHeight="1" x14ac:dyDescent="0.45">
      <c r="J132">
        <f>'1. Datos'!H128+'1. Datos'!I128+'1. Datos'!J128+'1. Datos'!K128+'1. Datos'!L128+'1. Datos'!M128+'1. Datos'!N128+'1. Datos'!O128+'1. Datos'!P128+'1. Datos'!Q128+'1. Datos'!R128+'1. Datos'!S128</f>
        <v>53</v>
      </c>
    </row>
    <row r="133" spans="10:10" ht="15" customHeight="1" x14ac:dyDescent="0.45">
      <c r="J133">
        <f>'1. Datos'!H129+'1. Datos'!I129+'1. Datos'!J129+'1. Datos'!K129+'1. Datos'!L129+'1. Datos'!M129+'1. Datos'!N129+'1. Datos'!O129+'1. Datos'!P129+'1. Datos'!Q129+'1. Datos'!R129+'1. Datos'!S129</f>
        <v>50</v>
      </c>
    </row>
    <row r="134" spans="10:10" ht="15" customHeight="1" x14ac:dyDescent="0.45">
      <c r="J134">
        <f>'1. Datos'!H130+'1. Datos'!I130+'1. Datos'!J130+'1. Datos'!K130+'1. Datos'!L130+'1. Datos'!M130+'1. Datos'!N130+'1. Datos'!O130+'1. Datos'!P130+'1. Datos'!Q130+'1. Datos'!R130+'1. Datos'!S130</f>
        <v>55</v>
      </c>
    </row>
    <row r="135" spans="10:10" ht="15" customHeight="1" x14ac:dyDescent="0.45">
      <c r="J135">
        <f>'1. Datos'!H131+'1. Datos'!I131+'1. Datos'!J131+'1. Datos'!K131+'1. Datos'!L131+'1. Datos'!M131+'1. Datos'!N131+'1. Datos'!O131+'1. Datos'!P131+'1. Datos'!Q131+'1. Datos'!R131+'1. Datos'!S131</f>
        <v>54</v>
      </c>
    </row>
    <row r="136" spans="10:10" ht="15" customHeight="1" x14ac:dyDescent="0.45">
      <c r="J136">
        <f>'1. Datos'!H132+'1. Datos'!I132+'1. Datos'!J132+'1. Datos'!K132+'1. Datos'!L132+'1. Datos'!M132+'1. Datos'!N132+'1. Datos'!O132+'1. Datos'!P132+'1. Datos'!Q132+'1. Datos'!R132+'1. Datos'!S132</f>
        <v>54</v>
      </c>
    </row>
    <row r="137" spans="10:10" ht="15" customHeight="1" x14ac:dyDescent="0.45">
      <c r="J137">
        <f>'1. Datos'!H133+'1. Datos'!I133+'1. Datos'!J133+'1. Datos'!K133+'1. Datos'!L133+'1. Datos'!M133+'1. Datos'!N133+'1. Datos'!O133+'1. Datos'!P133+'1. Datos'!Q133+'1. Datos'!R133+'1. Datos'!S133</f>
        <v>53</v>
      </c>
    </row>
    <row r="138" spans="10:10" ht="15" customHeight="1" x14ac:dyDescent="0.45">
      <c r="J138">
        <f>'1. Datos'!H134+'1. Datos'!I134+'1. Datos'!J134+'1. Datos'!K134+'1. Datos'!L134+'1. Datos'!M134+'1. Datos'!N134+'1. Datos'!O134+'1. Datos'!P134+'1. Datos'!Q134+'1. Datos'!R134+'1. Datos'!S134</f>
        <v>49</v>
      </c>
    </row>
    <row r="139" spans="10:10" ht="15" customHeight="1" x14ac:dyDescent="0.45">
      <c r="J139">
        <f>'1. Datos'!H135+'1. Datos'!I135+'1. Datos'!J135+'1. Datos'!K135+'1. Datos'!L135+'1. Datos'!M135+'1. Datos'!N135+'1. Datos'!O135+'1. Datos'!P135+'1. Datos'!Q135+'1. Datos'!R135+'1. Datos'!S135</f>
        <v>49</v>
      </c>
    </row>
    <row r="140" spans="10:10" ht="15" customHeight="1" x14ac:dyDescent="0.45">
      <c r="J140">
        <f>'1. Datos'!H136+'1. Datos'!I136+'1. Datos'!J136+'1. Datos'!K136+'1. Datos'!L136+'1. Datos'!M136+'1. Datos'!N136+'1. Datos'!O136+'1. Datos'!P136+'1. Datos'!Q136+'1. Datos'!R136+'1. Datos'!S136</f>
        <v>50</v>
      </c>
    </row>
    <row r="141" spans="10:10" ht="15" customHeight="1" x14ac:dyDescent="0.45">
      <c r="J141">
        <f>'1. Datos'!H137+'1. Datos'!I137+'1. Datos'!J137+'1. Datos'!K137+'1. Datos'!L137+'1. Datos'!M137+'1. Datos'!N137+'1. Datos'!O137+'1. Datos'!P137+'1. Datos'!Q137+'1. Datos'!R137+'1. Datos'!S137</f>
        <v>54</v>
      </c>
    </row>
    <row r="142" spans="10:10" ht="15" customHeight="1" x14ac:dyDescent="0.45">
      <c r="J142">
        <f>'1. Datos'!H138+'1. Datos'!I138+'1. Datos'!J138+'1. Datos'!K138+'1. Datos'!L138+'1. Datos'!M138+'1. Datos'!N138+'1. Datos'!O138+'1. Datos'!P138+'1. Datos'!Q138+'1. Datos'!R138+'1. Datos'!S138</f>
        <v>50</v>
      </c>
    </row>
    <row r="143" spans="10:10" ht="15" customHeight="1" x14ac:dyDescent="0.45">
      <c r="J143">
        <f>'1. Datos'!H139+'1. Datos'!I139+'1. Datos'!J139+'1. Datos'!K139+'1. Datos'!L139+'1. Datos'!M139+'1. Datos'!N139+'1. Datos'!O139+'1. Datos'!P139+'1. Datos'!Q139+'1. Datos'!R139+'1. Datos'!S139</f>
        <v>55</v>
      </c>
    </row>
    <row r="144" spans="10:10" ht="15" customHeight="1" x14ac:dyDescent="0.45">
      <c r="J144">
        <f>'1. Datos'!H140+'1. Datos'!I140+'1. Datos'!J140+'1. Datos'!K140+'1. Datos'!L140+'1. Datos'!M140+'1. Datos'!N140+'1. Datos'!O140+'1. Datos'!P140+'1. Datos'!Q140+'1. Datos'!R140+'1. Datos'!S140</f>
        <v>57</v>
      </c>
    </row>
    <row r="145" spans="10:10" ht="15" customHeight="1" x14ac:dyDescent="0.45">
      <c r="J145">
        <f>'1. Datos'!H141+'1. Datos'!I141+'1. Datos'!J141+'1. Datos'!K141+'1. Datos'!L141+'1. Datos'!M141+'1. Datos'!N141+'1. Datos'!O141+'1. Datos'!P141+'1. Datos'!Q141+'1. Datos'!R141+'1. Datos'!S141</f>
        <v>51</v>
      </c>
    </row>
    <row r="146" spans="10:10" ht="15" customHeight="1" x14ac:dyDescent="0.45">
      <c r="J146">
        <f>'1. Datos'!H142+'1. Datos'!I142+'1. Datos'!J142+'1. Datos'!K142+'1. Datos'!L142+'1. Datos'!M142+'1. Datos'!N142+'1. Datos'!O142+'1. Datos'!P142+'1. Datos'!Q142+'1. Datos'!R142+'1. Datos'!S142</f>
        <v>43</v>
      </c>
    </row>
    <row r="147" spans="10:10" ht="15" customHeight="1" x14ac:dyDescent="0.45">
      <c r="J147">
        <f>'1. Datos'!H143+'1. Datos'!I143+'1. Datos'!J143+'1. Datos'!K143+'1. Datos'!L143+'1. Datos'!M143+'1. Datos'!N143+'1. Datos'!O143+'1. Datos'!P143+'1. Datos'!Q143+'1. Datos'!R143+'1. Datos'!S143</f>
        <v>48</v>
      </c>
    </row>
    <row r="148" spans="10:10" ht="15" customHeight="1" x14ac:dyDescent="0.45">
      <c r="J148">
        <f>'1. Datos'!H144+'1. Datos'!I144+'1. Datos'!J144+'1. Datos'!K144+'1. Datos'!L144+'1. Datos'!M144+'1. Datos'!N144+'1. Datos'!O144+'1. Datos'!P144+'1. Datos'!Q144+'1. Datos'!R144+'1. Datos'!S144</f>
        <v>55</v>
      </c>
    </row>
    <row r="149" spans="10:10" ht="15" customHeight="1" x14ac:dyDescent="0.45">
      <c r="J149">
        <f>'1. Datos'!H145+'1. Datos'!I145+'1. Datos'!J145+'1. Datos'!K145+'1. Datos'!L145+'1. Datos'!M145+'1. Datos'!N145+'1. Datos'!O145+'1. Datos'!P145+'1. Datos'!Q145+'1. Datos'!R145+'1. Datos'!S145</f>
        <v>53</v>
      </c>
    </row>
    <row r="150" spans="10:10" ht="15" customHeight="1" x14ac:dyDescent="0.45">
      <c r="J150">
        <f>'1. Datos'!H146+'1. Datos'!I146+'1. Datos'!J146+'1. Datos'!K146+'1. Datos'!L146+'1. Datos'!M146+'1. Datos'!N146+'1. Datos'!O146+'1. Datos'!P146+'1. Datos'!Q146+'1. Datos'!R146+'1. Datos'!S146</f>
        <v>47</v>
      </c>
    </row>
    <row r="151" spans="10:10" ht="15" customHeight="1" x14ac:dyDescent="0.45">
      <c r="J151">
        <f>'1. Datos'!H147+'1. Datos'!I147+'1. Datos'!J147+'1. Datos'!K147+'1. Datos'!L147+'1. Datos'!M147+'1. Datos'!N147+'1. Datos'!O147+'1. Datos'!P147+'1. Datos'!Q147+'1. Datos'!R147+'1. Datos'!S147</f>
        <v>54</v>
      </c>
    </row>
    <row r="152" spans="10:10" ht="15" customHeight="1" x14ac:dyDescent="0.45">
      <c r="J152">
        <f>'1. Datos'!H148+'1. Datos'!I148+'1. Datos'!J148+'1. Datos'!K148+'1. Datos'!L148+'1. Datos'!M148+'1. Datos'!N148+'1. Datos'!O148+'1. Datos'!P148+'1. Datos'!Q148+'1. Datos'!R148+'1. Datos'!S148</f>
        <v>56</v>
      </c>
    </row>
    <row r="153" spans="10:10" ht="15" customHeight="1" x14ac:dyDescent="0.45">
      <c r="J153">
        <f>'1. Datos'!H149+'1. Datos'!I149+'1. Datos'!J149+'1. Datos'!K149+'1. Datos'!L149+'1. Datos'!M149+'1. Datos'!N149+'1. Datos'!O149+'1. Datos'!P149+'1. Datos'!Q149+'1. Datos'!R149+'1. Datos'!S149</f>
        <v>51</v>
      </c>
    </row>
    <row r="154" spans="10:10" ht="15" customHeight="1" x14ac:dyDescent="0.45">
      <c r="J154">
        <f>'1. Datos'!H150+'1. Datos'!I150+'1. Datos'!J150+'1. Datos'!K150+'1. Datos'!L150+'1. Datos'!M150+'1. Datos'!N150+'1. Datos'!O150+'1. Datos'!P150+'1. Datos'!Q150+'1. Datos'!R150+'1. Datos'!S150</f>
        <v>50</v>
      </c>
    </row>
    <row r="155" spans="10:10" ht="15" customHeight="1" x14ac:dyDescent="0.45">
      <c r="J155">
        <f>'1. Datos'!H151+'1. Datos'!I151+'1. Datos'!J151+'1. Datos'!K151+'1. Datos'!L151+'1. Datos'!M151+'1. Datos'!N151+'1. Datos'!O151+'1. Datos'!P151+'1. Datos'!Q151+'1. Datos'!R151+'1. Datos'!S151</f>
        <v>53</v>
      </c>
    </row>
    <row r="156" spans="10:10" ht="15" customHeight="1" x14ac:dyDescent="0.45">
      <c r="J156">
        <f>'1. Datos'!H152+'1. Datos'!I152+'1. Datos'!J152+'1. Datos'!K152+'1. Datos'!L152+'1. Datos'!M152+'1. Datos'!N152+'1. Datos'!O152+'1. Datos'!P152+'1. Datos'!Q152+'1. Datos'!R152+'1. Datos'!S152</f>
        <v>51</v>
      </c>
    </row>
    <row r="157" spans="10:10" ht="15" customHeight="1" x14ac:dyDescent="0.45">
      <c r="J157">
        <f>'1. Datos'!H153+'1. Datos'!I153+'1. Datos'!J153+'1. Datos'!K153+'1. Datos'!L153+'1. Datos'!M153+'1. Datos'!N153+'1. Datos'!O153+'1. Datos'!P153+'1. Datos'!Q153+'1. Datos'!R153+'1. Datos'!S153</f>
        <v>52</v>
      </c>
    </row>
    <row r="158" spans="10:10" ht="15" customHeight="1" x14ac:dyDescent="0.45">
      <c r="J158">
        <f>'1. Datos'!H154+'1. Datos'!I154+'1. Datos'!J154+'1. Datos'!K154+'1. Datos'!L154+'1. Datos'!M154+'1. Datos'!N154+'1. Datos'!O154+'1. Datos'!P154+'1. Datos'!Q154+'1. Datos'!R154+'1. Datos'!S154</f>
        <v>51</v>
      </c>
    </row>
    <row r="159" spans="10:10" ht="15" customHeight="1" x14ac:dyDescent="0.45">
      <c r="J159">
        <f>'1. Datos'!H155+'1. Datos'!I155+'1. Datos'!J155+'1. Datos'!K155+'1. Datos'!L155+'1. Datos'!M155+'1. Datos'!N155+'1. Datos'!O155+'1. Datos'!P155+'1. Datos'!Q155+'1. Datos'!R155+'1. Datos'!S155</f>
        <v>53</v>
      </c>
    </row>
    <row r="160" spans="10:10" ht="15" customHeight="1" x14ac:dyDescent="0.45">
      <c r="J160">
        <f>'1. Datos'!H156+'1. Datos'!I156+'1. Datos'!J156+'1. Datos'!K156+'1. Datos'!L156+'1. Datos'!M156+'1. Datos'!N156+'1. Datos'!O156+'1. Datos'!P156+'1. Datos'!Q156+'1. Datos'!R156+'1. Datos'!S156</f>
        <v>48</v>
      </c>
    </row>
    <row r="161" spans="10:10" ht="15" customHeight="1" x14ac:dyDescent="0.45">
      <c r="J161">
        <f>'1. Datos'!H157+'1. Datos'!I157+'1. Datos'!J157+'1. Datos'!K157+'1. Datos'!L157+'1. Datos'!M157+'1. Datos'!N157+'1. Datos'!O157+'1. Datos'!P157+'1. Datos'!Q157+'1. Datos'!R157+'1. Datos'!S157</f>
        <v>53</v>
      </c>
    </row>
    <row r="162" spans="10:10" ht="15" customHeight="1" x14ac:dyDescent="0.45">
      <c r="J162">
        <f>'1. Datos'!H158+'1. Datos'!I158+'1. Datos'!J158+'1. Datos'!K158+'1. Datos'!L158+'1. Datos'!M158+'1. Datos'!N158+'1. Datos'!O158+'1. Datos'!P158+'1. Datos'!Q158+'1. Datos'!R158+'1. Datos'!S158</f>
        <v>52</v>
      </c>
    </row>
    <row r="163" spans="10:10" ht="15" customHeight="1" x14ac:dyDescent="0.45">
      <c r="J163">
        <f>'1. Datos'!H159+'1. Datos'!I159+'1. Datos'!J159+'1. Datos'!K159+'1. Datos'!L159+'1. Datos'!M159+'1. Datos'!N159+'1. Datos'!O159+'1. Datos'!P159+'1. Datos'!Q159+'1. Datos'!R159+'1. Datos'!S159</f>
        <v>50</v>
      </c>
    </row>
    <row r="164" spans="10:10" ht="15" customHeight="1" x14ac:dyDescent="0.45">
      <c r="J164">
        <f>'1. Datos'!H160+'1. Datos'!I160+'1. Datos'!J160+'1. Datos'!K160+'1. Datos'!L160+'1. Datos'!M160+'1. Datos'!N160+'1. Datos'!O160+'1. Datos'!P160+'1. Datos'!Q160+'1. Datos'!R160+'1. Datos'!S160</f>
        <v>50</v>
      </c>
    </row>
    <row r="165" spans="10:10" ht="15" customHeight="1" x14ac:dyDescent="0.45">
      <c r="J165">
        <f>'1. Datos'!H161+'1. Datos'!I161+'1. Datos'!J161+'1. Datos'!K161+'1. Datos'!L161+'1. Datos'!M161+'1. Datos'!N161+'1. Datos'!O161+'1. Datos'!P161+'1. Datos'!Q161+'1. Datos'!R161+'1. Datos'!S161</f>
        <v>52</v>
      </c>
    </row>
    <row r="166" spans="10:10" ht="15" customHeight="1" x14ac:dyDescent="0.45">
      <c r="J166">
        <f>'1. Datos'!H162+'1. Datos'!I162+'1. Datos'!J162+'1. Datos'!K162+'1. Datos'!L162+'1. Datos'!M162+'1. Datos'!N162+'1. Datos'!O162+'1. Datos'!P162+'1. Datos'!Q162+'1. Datos'!R162+'1. Datos'!S162</f>
        <v>50</v>
      </c>
    </row>
    <row r="167" spans="10:10" ht="15" customHeight="1" x14ac:dyDescent="0.45">
      <c r="J167">
        <f>'1. Datos'!H163+'1. Datos'!I163+'1. Datos'!J163+'1. Datos'!K163+'1. Datos'!L163+'1. Datos'!M163+'1. Datos'!N163+'1. Datos'!O163+'1. Datos'!P163+'1. Datos'!Q163+'1. Datos'!R163+'1. Datos'!S163</f>
        <v>52</v>
      </c>
    </row>
    <row r="168" spans="10:10" ht="15" customHeight="1" x14ac:dyDescent="0.45">
      <c r="J168">
        <f>'1. Datos'!H164+'1. Datos'!I164+'1. Datos'!J164+'1. Datos'!K164+'1. Datos'!L164+'1. Datos'!M164+'1. Datos'!N164+'1. Datos'!O164+'1. Datos'!P164+'1. Datos'!Q164+'1. Datos'!R164+'1. Datos'!S164</f>
        <v>50</v>
      </c>
    </row>
    <row r="169" spans="10:10" ht="15" customHeight="1" x14ac:dyDescent="0.45">
      <c r="J169">
        <f>'1. Datos'!H165+'1. Datos'!I165+'1. Datos'!J165+'1. Datos'!K165+'1. Datos'!L165+'1. Datos'!M165+'1. Datos'!N165+'1. Datos'!O165+'1. Datos'!P165+'1. Datos'!Q165+'1. Datos'!R165+'1. Datos'!S165</f>
        <v>50</v>
      </c>
    </row>
    <row r="170" spans="10:10" ht="15" customHeight="1" x14ac:dyDescent="0.45">
      <c r="J170">
        <f>'1. Datos'!H166+'1. Datos'!I166+'1. Datos'!J166+'1. Datos'!K166+'1. Datos'!L166+'1. Datos'!M166+'1. Datos'!N166+'1. Datos'!O166+'1. Datos'!P166+'1. Datos'!Q166+'1. Datos'!R166+'1. Datos'!S166</f>
        <v>50</v>
      </c>
    </row>
    <row r="171" spans="10:10" ht="15" customHeight="1" x14ac:dyDescent="0.45">
      <c r="J171">
        <f>'1. Datos'!H167+'1. Datos'!I167+'1. Datos'!J167+'1. Datos'!K167+'1. Datos'!L167+'1. Datos'!M167+'1. Datos'!N167+'1. Datos'!O167+'1. Datos'!P167+'1. Datos'!Q167+'1. Datos'!R167+'1. Datos'!S167</f>
        <v>56</v>
      </c>
    </row>
    <row r="172" spans="10:10" ht="15" customHeight="1" x14ac:dyDescent="0.45">
      <c r="J172">
        <f>'1. Datos'!H168+'1. Datos'!I168+'1. Datos'!J168+'1. Datos'!K168+'1. Datos'!L168+'1. Datos'!M168+'1. Datos'!N168+'1. Datos'!O168+'1. Datos'!P168+'1. Datos'!Q168+'1. Datos'!R168+'1. Datos'!S168</f>
        <v>53</v>
      </c>
    </row>
    <row r="173" spans="10:10" ht="15" customHeight="1" x14ac:dyDescent="0.45">
      <c r="J173">
        <f>'1. Datos'!H169+'1. Datos'!I169+'1. Datos'!J169+'1. Datos'!K169+'1. Datos'!L169+'1. Datos'!M169+'1. Datos'!N169+'1. Datos'!O169+'1. Datos'!P169+'1. Datos'!Q169+'1. Datos'!R169+'1. Datos'!S169</f>
        <v>52</v>
      </c>
    </row>
    <row r="174" spans="10:10" ht="15" customHeight="1" x14ac:dyDescent="0.45">
      <c r="J174">
        <f>'1. Datos'!H170+'1. Datos'!I170+'1. Datos'!J170+'1. Datos'!K170+'1. Datos'!L170+'1. Datos'!M170+'1. Datos'!N170+'1. Datos'!O170+'1. Datos'!P170+'1. Datos'!Q170+'1. Datos'!R170+'1. Datos'!S170</f>
        <v>55</v>
      </c>
    </row>
    <row r="175" spans="10:10" ht="15" customHeight="1" x14ac:dyDescent="0.45">
      <c r="J175">
        <f>'1. Datos'!H171+'1. Datos'!I171+'1. Datos'!J171+'1. Datos'!K171+'1. Datos'!L171+'1. Datos'!M171+'1. Datos'!N171+'1. Datos'!O171+'1. Datos'!P171+'1. Datos'!Q171+'1. Datos'!R171+'1. Datos'!S171</f>
        <v>53</v>
      </c>
    </row>
    <row r="176" spans="10:10" ht="15" customHeight="1" x14ac:dyDescent="0.45">
      <c r="J176">
        <f>'1. Datos'!H172+'1. Datos'!I172+'1. Datos'!J172+'1. Datos'!K172+'1. Datos'!L172+'1. Datos'!M172+'1. Datos'!N172+'1. Datos'!O172+'1. Datos'!P172+'1. Datos'!Q172+'1. Datos'!R172+'1. Datos'!S172</f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Datos</vt:lpstr>
      <vt:lpstr>Aux_Rangos</vt:lpstr>
      <vt:lpstr>2. Estadística Descriptiva</vt:lpstr>
      <vt:lpstr>3. Correlaciones Spearman</vt:lpstr>
      <vt:lpstr>4. Regresión OLS</vt:lpstr>
      <vt:lpstr>5. K-Means</vt:lpstr>
      <vt:lpstr>6. Alfa de Cronbach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Garcías</cp:lastModifiedBy>
  <cp:revision>0</cp:revision>
  <dcterms:created xsi:type="dcterms:W3CDTF">2026-05-20T20:47:02Z</dcterms:created>
  <dcterms:modified xsi:type="dcterms:W3CDTF">2026-05-21T08:55:40Z</dcterms:modified>
  <dc:language>en-US</dc:language>
</cp:coreProperties>
</file>